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xr:revisionPtr revIDLastSave="0" documentId="8_{D80F2CEC-D246-4049-9DF9-CC044ABC3788}" xr6:coauthVersionLast="47" xr6:coauthVersionMax="47" xr10:uidLastSave="{00000000-0000-0000-0000-000000000000}"/>
  <bookViews>
    <workbookView xWindow="240" yWindow="105" windowWidth="20115" windowHeight="7230" xr2:uid="{00000000-000D-0000-FFFF-FFFF00000000}"/>
  </bookViews>
  <sheets>
    <sheet name="RRC Pricing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3" i="4" l="1"/>
  <c r="E113" i="4"/>
  <c r="D112" i="4"/>
  <c r="E112" i="4"/>
  <c r="D111" i="4"/>
  <c r="E111" i="4"/>
  <c r="D110" i="4"/>
  <c r="E110" i="4"/>
  <c r="D109" i="4"/>
  <c r="E109" i="4"/>
  <c r="D108" i="4"/>
  <c r="E108" i="4"/>
  <c r="E107" i="4"/>
  <c r="D105" i="4"/>
  <c r="E105" i="4"/>
  <c r="D104" i="4"/>
  <c r="E104" i="4"/>
  <c r="D103" i="4"/>
  <c r="E103" i="4"/>
  <c r="E102" i="4"/>
  <c r="D100" i="4"/>
  <c r="E100" i="4"/>
  <c r="D99" i="4"/>
  <c r="E99" i="4"/>
  <c r="D98" i="4"/>
  <c r="E98" i="4"/>
  <c r="D97" i="4"/>
  <c r="E97" i="4"/>
  <c r="D96" i="4"/>
  <c r="E96" i="4"/>
  <c r="D95" i="4"/>
  <c r="E95" i="4"/>
  <c r="D94" i="4"/>
  <c r="E94" i="4"/>
  <c r="E93" i="4"/>
  <c r="D91" i="4"/>
  <c r="E91" i="4"/>
  <c r="D90" i="4"/>
  <c r="E90" i="4"/>
  <c r="D89" i="4"/>
  <c r="E89" i="4"/>
  <c r="E88" i="4"/>
  <c r="D86" i="4"/>
  <c r="E86" i="4"/>
  <c r="D85" i="4"/>
  <c r="E85" i="4"/>
  <c r="D84" i="4"/>
  <c r="E84" i="4"/>
  <c r="D83" i="4"/>
  <c r="E83" i="4"/>
  <c r="D82" i="4"/>
  <c r="E82" i="4"/>
  <c r="D81" i="4"/>
  <c r="E81" i="4"/>
  <c r="D80" i="4"/>
  <c r="E80" i="4"/>
  <c r="D79" i="4"/>
  <c r="E79" i="4"/>
  <c r="D78" i="4"/>
  <c r="E78" i="4"/>
  <c r="D77" i="4"/>
  <c r="E77" i="4"/>
  <c r="D74" i="4"/>
  <c r="E74" i="4"/>
  <c r="D73" i="4"/>
  <c r="E73" i="4"/>
  <c r="D72" i="4"/>
  <c r="E72" i="4"/>
  <c r="D71" i="4"/>
  <c r="E71" i="4"/>
  <c r="D70" i="4"/>
  <c r="E70" i="4"/>
  <c r="D69" i="4"/>
  <c r="E69" i="4"/>
  <c r="D68" i="4"/>
  <c r="E68" i="4"/>
  <c r="D67" i="4"/>
  <c r="E67" i="4"/>
  <c r="E66" i="4"/>
  <c r="D64" i="4"/>
  <c r="E64" i="4"/>
  <c r="D63" i="4"/>
  <c r="E63" i="4"/>
  <c r="D62" i="4"/>
  <c r="E62" i="4"/>
  <c r="D61" i="4"/>
  <c r="E61" i="4"/>
  <c r="D60" i="4"/>
  <c r="E60" i="4"/>
  <c r="D59" i="4"/>
  <c r="E59" i="4"/>
  <c r="D58" i="4"/>
  <c r="E58" i="4"/>
  <c r="D57" i="4"/>
  <c r="E57" i="4"/>
  <c r="D56" i="4"/>
  <c r="E56" i="4"/>
  <c r="D55" i="4"/>
  <c r="E55" i="4"/>
  <c r="D54" i="4"/>
  <c r="E54" i="4"/>
  <c r="E53" i="4"/>
  <c r="D51" i="4"/>
  <c r="E51" i="4"/>
  <c r="D50" i="4"/>
  <c r="E50" i="4"/>
  <c r="D49" i="4"/>
  <c r="E49" i="4"/>
  <c r="D48" i="4"/>
  <c r="E48" i="4"/>
  <c r="D47" i="4"/>
  <c r="E47" i="4"/>
  <c r="D44" i="4"/>
  <c r="E44" i="4"/>
  <c r="D43" i="4"/>
  <c r="E43" i="4"/>
  <c r="D42" i="4"/>
  <c r="E42" i="4"/>
  <c r="D41" i="4"/>
  <c r="E41" i="4"/>
  <c r="D40" i="4"/>
  <c r="E40" i="4"/>
  <c r="D39" i="4"/>
  <c r="E39" i="4"/>
  <c r="E38" i="4"/>
  <c r="D36" i="4"/>
  <c r="E36" i="4"/>
  <c r="D35" i="4"/>
  <c r="B35" i="4"/>
  <c r="E35" i="4"/>
  <c r="D34" i="4"/>
  <c r="E34" i="4"/>
  <c r="E33" i="4"/>
  <c r="D31" i="4"/>
  <c r="E31" i="4"/>
  <c r="D30" i="4"/>
  <c r="E30" i="4"/>
  <c r="D29" i="4"/>
  <c r="E29" i="4"/>
  <c r="D28" i="4"/>
  <c r="E28" i="4"/>
  <c r="D27" i="4"/>
  <c r="E27" i="4"/>
  <c r="D26" i="4"/>
  <c r="E26" i="4"/>
  <c r="D25" i="4"/>
  <c r="E25" i="4"/>
  <c r="D24" i="4"/>
  <c r="E24" i="4"/>
  <c r="D23" i="4"/>
  <c r="E23" i="4"/>
  <c r="D22" i="4"/>
  <c r="E22" i="4"/>
  <c r="D21" i="4"/>
  <c r="E21" i="4"/>
  <c r="D20" i="4"/>
  <c r="E20" i="4"/>
  <c r="D19" i="4"/>
  <c r="E19" i="4"/>
  <c r="D18" i="4"/>
  <c r="E18" i="4"/>
  <c r="D17" i="4"/>
  <c r="E17" i="4"/>
  <c r="D16" i="4"/>
  <c r="E16" i="4"/>
  <c r="D15" i="4"/>
  <c r="E15" i="4"/>
  <c r="D14" i="4"/>
  <c r="E14" i="4"/>
  <c r="D13" i="4"/>
  <c r="E13" i="4"/>
  <c r="D12" i="4"/>
  <c r="E12" i="4"/>
  <c r="D11" i="4"/>
  <c r="E11" i="4"/>
  <c r="D10" i="4"/>
  <c r="E10" i="4"/>
  <c r="D9" i="4"/>
  <c r="E9" i="4"/>
  <c r="D8" i="4"/>
  <c r="B8" i="4"/>
  <c r="E8" i="4"/>
  <c r="D7" i="4"/>
  <c r="E7" i="4"/>
  <c r="D6" i="4"/>
  <c r="B6" i="4"/>
  <c r="E6" i="4"/>
  <c r="D5" i="4"/>
  <c r="E5" i="4"/>
  <c r="E4" i="4"/>
  <c r="E46" i="4"/>
  <c r="E76" i="4"/>
  <c r="A3" i="4"/>
</calcChain>
</file>

<file path=xl/sharedStrings.xml><?xml version="1.0" encoding="utf-8"?>
<sst xmlns="http://schemas.openxmlformats.org/spreadsheetml/2006/main" count="205" uniqueCount="118">
  <si>
    <t xml:space="preserve">ESTIMATED COST OF REPAIR </t>
  </si>
  <si>
    <t>(calculated with current average Insurance cost)</t>
  </si>
  <si>
    <t>MSRMNT</t>
  </si>
  <si>
    <t>UNITS</t>
  </si>
  <si>
    <t>INS COST</t>
  </si>
  <si>
    <t>REPAIR COST</t>
  </si>
  <si>
    <t>WELLINGTON</t>
  </si>
  <si>
    <t>ALL STATE</t>
  </si>
  <si>
    <t>HARTFORD</t>
  </si>
  <si>
    <t>USAA</t>
  </si>
  <si>
    <t>ALLSTATE</t>
  </si>
  <si>
    <t>CRAWFORD</t>
  </si>
  <si>
    <t>LLOYDS</t>
  </si>
  <si>
    <t>STATE FARM</t>
  </si>
  <si>
    <t>NATIONWIDE</t>
  </si>
  <si>
    <t>ROOF</t>
  </si>
  <si>
    <t>Remove 3-tab</t>
  </si>
  <si>
    <t>SQ</t>
  </si>
  <si>
    <t>Replace 3-Tab</t>
  </si>
  <si>
    <t>Remove HD</t>
  </si>
  <si>
    <t>Replace HD</t>
  </si>
  <si>
    <t>Addtl Layer</t>
  </si>
  <si>
    <t>Remove Steep</t>
  </si>
  <si>
    <t>Remove Shake</t>
  </si>
  <si>
    <t>Re-Deck</t>
  </si>
  <si>
    <t>SQ FT</t>
  </si>
  <si>
    <t>Steep Charge</t>
  </si>
  <si>
    <t>High Roof Charge</t>
  </si>
  <si>
    <t>Ridge Cap</t>
  </si>
  <si>
    <t>LF</t>
  </si>
  <si>
    <t>Turtle Vent</t>
  </si>
  <si>
    <t>CT</t>
  </si>
  <si>
    <t>Pipe Jack</t>
  </si>
  <si>
    <t>Lead Jack</t>
  </si>
  <si>
    <t>Paint Jack</t>
  </si>
  <si>
    <t>Valley Flashing</t>
  </si>
  <si>
    <t>Chimney Flashing</t>
  </si>
  <si>
    <t>Paint Flashing</t>
  </si>
  <si>
    <t>Drip Edge</t>
  </si>
  <si>
    <t>Chimney Cover</t>
  </si>
  <si>
    <t>Exhaust Cap</t>
  </si>
  <si>
    <t>Turbine Vent</t>
  </si>
  <si>
    <t>Power Attic Vent</t>
  </si>
  <si>
    <t>Ridge Vent</t>
  </si>
  <si>
    <t>Flue Cap</t>
  </si>
  <si>
    <t>R&amp;R Gutter/Down Spout</t>
  </si>
  <si>
    <t>Detach/Reset Satellite</t>
  </si>
  <si>
    <t>FLAT ROOF/BITUMEN</t>
  </si>
  <si>
    <t>Remove Flat</t>
  </si>
  <si>
    <t>Replace Flat</t>
  </si>
  <si>
    <t>R &amp; R Drip</t>
  </si>
  <si>
    <t>SOFFIT, FASCIA &amp; TRIM</t>
  </si>
  <si>
    <t xml:space="preserve">Prime &amp; Paint Fascia 6-8" </t>
  </si>
  <si>
    <t>R&amp;R 2" Trim - Pine</t>
  </si>
  <si>
    <t>R&amp;R Fascia 1"x6" - Pine</t>
  </si>
  <si>
    <t>R&amp;R Fascia 1"x4" - Cedar</t>
  </si>
  <si>
    <t>R&amp;R Fascia 1"x8" - Cedar</t>
  </si>
  <si>
    <t>Mask &amp; Prep</t>
  </si>
  <si>
    <t>EXTERIOR PAINT</t>
  </si>
  <si>
    <t>Seal &amp; Paint</t>
  </si>
  <si>
    <t>Strip Paint Door</t>
  </si>
  <si>
    <t>Stain &amp; Finish Door</t>
  </si>
  <si>
    <t>Siding</t>
  </si>
  <si>
    <t>WINDOWS &amp; DOORS</t>
  </si>
  <si>
    <t>Glazing Bead</t>
  </si>
  <si>
    <t>Reglaze Window 1-9sf</t>
  </si>
  <si>
    <t>Reglaze Window 17-25sf</t>
  </si>
  <si>
    <t>Reglaze Double Pane Window</t>
  </si>
  <si>
    <t>Remove Screen</t>
  </si>
  <si>
    <t>Replace Screen</t>
  </si>
  <si>
    <t>Sunscreen</t>
  </si>
  <si>
    <t>R&amp;R Shutters</t>
  </si>
  <si>
    <t>R&amp;R Wood Blinds</t>
  </si>
  <si>
    <t>Detach/Reset Lockset</t>
  </si>
  <si>
    <t>R&amp;R Storm Door</t>
  </si>
  <si>
    <t>FENCE</t>
  </si>
  <si>
    <t>Remove Post</t>
  </si>
  <si>
    <t>Replace Post</t>
  </si>
  <si>
    <t>Detach &amp; Reset</t>
  </si>
  <si>
    <t>8FT PC</t>
  </si>
  <si>
    <t>R &amp; R Wood Fence 6"</t>
  </si>
  <si>
    <t>Wood Slat</t>
  </si>
  <si>
    <t>Lattice</t>
  </si>
  <si>
    <t>Power Wash</t>
  </si>
  <si>
    <t>Seal/Paint</t>
  </si>
  <si>
    <t>INTERIOR PAINT</t>
  </si>
  <si>
    <t>Drywall Patch/Repair</t>
  </si>
  <si>
    <t>R&amp;R Popcorn Texture</t>
  </si>
  <si>
    <t>Texture Drywall</t>
  </si>
  <si>
    <t>R&amp;R Blown-In Insulation</t>
  </si>
  <si>
    <t>Prime/Paint Walls</t>
  </si>
  <si>
    <t>Clean Carpet</t>
  </si>
  <si>
    <t>Move &amp; Reset Contents</t>
  </si>
  <si>
    <t>Tape &amp; Float 5/8" Drywall</t>
  </si>
  <si>
    <t>Clean Floor</t>
  </si>
  <si>
    <t>ELECTRICAL</t>
  </si>
  <si>
    <t>Light Fixture Repair</t>
  </si>
  <si>
    <t>Light Fixture Material</t>
  </si>
  <si>
    <t>R&amp;R Meter</t>
  </si>
  <si>
    <t>FLOOR</t>
  </si>
  <si>
    <t>Wood Flooring</t>
  </si>
  <si>
    <t>Floor Glue</t>
  </si>
  <si>
    <t>Floor Moulding</t>
  </si>
  <si>
    <t>Remove Carpet</t>
  </si>
  <si>
    <t>R&amp;R Pad</t>
  </si>
  <si>
    <t>Install Carpet</t>
  </si>
  <si>
    <t>Latex Seal</t>
  </si>
  <si>
    <t>GARAGE</t>
  </si>
  <si>
    <t>Detach/Rehang Garage Door</t>
  </si>
  <si>
    <t>R&amp;R Garage Door Jamb &amp; Trim</t>
  </si>
  <si>
    <t>Paint Garage Door, Jamb &amp; Trim</t>
  </si>
  <si>
    <t>STUCCO/BRICK</t>
  </si>
  <si>
    <t>R&amp;R Stucco</t>
  </si>
  <si>
    <t>Stucco Patch</t>
  </si>
  <si>
    <t>Stucco Trim</t>
  </si>
  <si>
    <t>Stucco Color (redash - coarse)</t>
  </si>
  <si>
    <t>Stucco Fog Coat</t>
  </si>
  <si>
    <t>R&amp;R Brick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</si>
</sst>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6"/>
      <color theme="0"/>
      <name val="Arial"/>
      <family val="2"/>
    </font>
    <font>
      <sz val="14"/>
      <color theme="0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1"/>
    <xf numFmtId="44" fontId="3" fillId="0" borderId="0" xfId="1" applyNumberFormat="1" applyFont="1" applyProtection="1"/>
    <xf numFmtId="4" fontId="4" fillId="3" borderId="0" xfId="2" applyNumberFormat="1" applyFont="1" applyFill="1" applyBorder="1" applyAlignment="1" applyProtection="1">
      <alignment horizontal="center"/>
    </xf>
    <xf numFmtId="44" fontId="3" fillId="4" borderId="0" xfId="2" applyFont="1" applyFill="1" applyBorder="1" applyAlignment="1" applyProtection="1">
      <alignment horizontal="center"/>
    </xf>
    <xf numFmtId="44" fontId="3" fillId="5" borderId="0" xfId="2" applyFont="1" applyFill="1" applyBorder="1" applyAlignment="1" applyProtection="1">
      <alignment horizontal="center"/>
    </xf>
    <xf numFmtId="0" fontId="4" fillId="0" borderId="0" xfId="1" applyFont="1" applyAlignment="1" applyProtection="1">
      <alignment horizontal="center"/>
      <protection hidden="1"/>
    </xf>
    <xf numFmtId="44" fontId="4" fillId="0" borderId="0" xfId="2" applyFont="1" applyAlignment="1" applyProtection="1">
      <alignment horizontal="center"/>
      <protection hidden="1"/>
    </xf>
    <xf numFmtId="0" fontId="4" fillId="0" borderId="0" xfId="1" applyFont="1"/>
    <xf numFmtId="0" fontId="3" fillId="6" borderId="0" xfId="1" applyFont="1" applyFill="1" applyProtection="1"/>
    <xf numFmtId="4" fontId="4" fillId="6" borderId="0" xfId="2" applyNumberFormat="1" applyFont="1" applyFill="1" applyBorder="1" applyAlignment="1" applyProtection="1">
      <alignment horizontal="center"/>
    </xf>
    <xf numFmtId="44" fontId="3" fillId="6" borderId="0" xfId="2" applyFont="1" applyFill="1" applyBorder="1" applyAlignment="1" applyProtection="1">
      <alignment horizontal="center"/>
    </xf>
    <xf numFmtId="0" fontId="3" fillId="6" borderId="0" xfId="1" applyFont="1" applyFill="1" applyAlignment="1" applyProtection="1">
      <alignment horizontal="center"/>
      <protection hidden="1"/>
    </xf>
    <xf numFmtId="44" fontId="4" fillId="6" borderId="0" xfId="2" applyFont="1" applyFill="1" applyAlignment="1" applyProtection="1">
      <alignment horizontal="center"/>
      <protection hidden="1"/>
    </xf>
    <xf numFmtId="4" fontId="5" fillId="3" borderId="0" xfId="2" applyNumberFormat="1" applyFont="1" applyFill="1" applyBorder="1" applyAlignment="1" applyProtection="1">
      <alignment horizontal="center"/>
    </xf>
    <xf numFmtId="44" fontId="6" fillId="4" borderId="0" xfId="2" applyFont="1" applyFill="1" applyBorder="1" applyAlignment="1" applyProtection="1">
      <alignment horizontal="center"/>
    </xf>
    <xf numFmtId="44" fontId="0" fillId="0" borderId="0" xfId="2" applyFont="1" applyAlignment="1" applyProtection="1">
      <alignment horizontal="center"/>
      <protection hidden="1"/>
    </xf>
    <xf numFmtId="44" fontId="1" fillId="0" borderId="0" xfId="2" applyFont="1" applyAlignment="1" applyProtection="1">
      <alignment horizontal="center"/>
      <protection hidden="1"/>
    </xf>
    <xf numFmtId="0" fontId="1" fillId="0" borderId="0" xfId="1" applyAlignment="1" applyProtection="1">
      <alignment horizontal="center"/>
      <protection hidden="1"/>
    </xf>
    <xf numFmtId="44" fontId="3" fillId="6" borderId="0" xfId="2" applyFont="1" applyFill="1" applyAlignment="1" applyProtection="1">
      <alignment horizontal="center"/>
      <protection hidden="1"/>
    </xf>
    <xf numFmtId="44" fontId="1" fillId="0" borderId="0" xfId="2" applyFont="1" applyBorder="1" applyAlignment="1" applyProtection="1">
      <alignment horizontal="center"/>
      <protection hidden="1"/>
    </xf>
    <xf numFmtId="0" fontId="5" fillId="0" borderId="0" xfId="1" applyFont="1" applyBorder="1"/>
    <xf numFmtId="0" fontId="6" fillId="0" borderId="0" xfId="1" applyFont="1"/>
    <xf numFmtId="0" fontId="3" fillId="0" borderId="0" xfId="1" applyFont="1"/>
    <xf numFmtId="0" fontId="7" fillId="0" borderId="0" xfId="1" applyFont="1" applyProtection="1"/>
    <xf numFmtId="0" fontId="7" fillId="0" borderId="0" xfId="1" applyFont="1" applyBorder="1" applyProtection="1"/>
    <xf numFmtId="0" fontId="7" fillId="0" borderId="0" xfId="1" applyFont="1"/>
    <xf numFmtId="0" fontId="2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/>
    </xf>
  </cellXfs>
  <cellStyles count="3">
    <cellStyle name="Currency 2" xfId="2" xr:uid="{00000000-0005-0000-0000-000000000000}"/>
    <cellStyle name="Normal" xfId="0" builtinId="0"/>
    <cellStyle name="Normal 2" xfId="1" xr:uid="{00000000-0005-0000-0000-000002000000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relative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relative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relative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relative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rgb="FF00B050"/>
        </patternFill>
      </fill>
      <alignment horizontal="center" vertical="bottom" textRotation="0" wrapText="0" relative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rgb="FF00B0F0"/>
        </patternFill>
      </fill>
      <alignment horizontal="center" vertical="bottom" textRotation="0" wrapText="0" relative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4" formatCode="#,##0.00"/>
      <fill>
        <patternFill patternType="solid">
          <fgColor indexed="64"/>
          <bgColor rgb="FFFFFF00"/>
        </patternFill>
      </fill>
      <alignment horizontal="center" vertical="bottom" textRotation="0" wrapText="0" relative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4" formatCode="#,##0.00"/>
      <fill>
        <patternFill patternType="solid">
          <fgColor indexed="64"/>
          <bgColor rgb="FFFFFF00"/>
        </patternFill>
      </fill>
      <alignment horizontal="center" vertical="bottom" textRotation="0" wrapText="0" relativeIndent="0" justifyLastLine="0" shrinkToFit="0" readingOrder="0"/>
      <protection locked="1" hidden="0"/>
    </dxf>
    <dxf>
      <protection locked="1" hidden="0"/>
    </dxf>
    <dxf>
      <font>
        <strike val="0"/>
        <outline val="0"/>
        <shadow val="0"/>
        <u val="none"/>
        <vertAlign val="baseline"/>
        <color theme="0"/>
        <name val="Arial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protection locked="1" hidden="0"/>
    </dxf>
    <dxf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14" displayName="Table114" ref="A3:O114" headerRowCount="0" totalsRowShown="0" headerRowDxfId="20" dataDxfId="19">
  <tableColumns count="15">
    <tableColumn id="1" xr3:uid="{00000000-0010-0000-0000-000001000000}" name="Column1" dataDxfId="18"/>
    <tableColumn id="15" xr3:uid="{00000000-0010-0000-0000-00000F000000}" name="Column8" headerRowDxfId="17" dataDxfId="16"/>
    <tableColumn id="24" xr3:uid="{00000000-0010-0000-0000-000018000000}" name="Column12" headerRowDxfId="15" dataDxfId="14"/>
    <tableColumn id="16" xr3:uid="{00000000-0010-0000-0000-000010000000}" name="Column10" headerRowDxfId="13" dataDxfId="12"/>
    <tableColumn id="26" xr3:uid="{00000000-0010-0000-0000-00001A000000}" name="Column13" headerRowDxfId="11" dataDxfId="10"/>
    <tableColumn id="3" xr3:uid="{00000000-0010-0000-0000-000003000000}" name="Column3" dataDxfId="9"/>
    <tableColumn id="5" xr3:uid="{00000000-0010-0000-0000-000005000000}" name="Column5" dataDxfId="8"/>
    <tableColumn id="22" xr3:uid="{00000000-0010-0000-0000-000016000000}" name="Column15" dataDxfId="7"/>
    <tableColumn id="12" xr3:uid="{00000000-0010-0000-0000-00000C000000}" name="Column2" dataDxfId="6"/>
    <tableColumn id="7" xr3:uid="{00000000-0010-0000-0000-000007000000}" name="Column7" dataDxfId="5"/>
    <tableColumn id="23" xr3:uid="{00000000-0010-0000-0000-000017000000}" name="Column14" dataDxfId="4"/>
    <tableColumn id="9" xr3:uid="{00000000-0010-0000-0000-000009000000}" name="Column9" dataDxfId="3"/>
    <tableColumn id="13" xr3:uid="{00000000-0010-0000-0000-00000D000000}" name="Column4" dataDxfId="2"/>
    <tableColumn id="11" xr3:uid="{00000000-0010-0000-0000-00000B000000}" name="Column11" dataDxfId="1"/>
    <tableColumn id="14" xr3:uid="{00000000-0010-0000-0000-00000E000000}" name="Column6" dataDxfId="0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"/>
  <sheetViews>
    <sheetView tabSelected="1" topLeftCell="E1" zoomScaleNormal="100" workbookViewId="0">
      <selection activeCell="E3" sqref="E1:E1048576"/>
    </sheetView>
  </sheetViews>
  <sheetFormatPr defaultRowHeight="18" outlineLevelCol="1" x14ac:dyDescent="0.2"/>
  <cols>
    <col min="1" max="1" width="31.34375" style="26" bestFit="1" customWidth="1"/>
    <col min="2" max="2" width="20.4453125" style="21" customWidth="1"/>
    <col min="3" max="3" width="9.4140625" style="21" bestFit="1" customWidth="1"/>
    <col min="4" max="4" width="16.140625" style="22" bestFit="1" customWidth="1"/>
    <col min="5" max="5" width="24.48046875" style="23" customWidth="1"/>
    <col min="6" max="6" width="16.0078125" style="1" customWidth="1" outlineLevel="1"/>
    <col min="7" max="7" width="13.44921875" style="1" customWidth="1" outlineLevel="1"/>
    <col min="8" max="8" width="13.85546875" style="1" customWidth="1" outlineLevel="1"/>
    <col min="9" max="9" width="8.7421875" style="1" customWidth="1" outlineLevel="1"/>
    <col min="10" max="10" width="12.64453125" style="1" customWidth="1" outlineLevel="1"/>
    <col min="11" max="11" width="14.796875" style="1" customWidth="1" outlineLevel="1"/>
    <col min="12" max="12" width="10.0859375" style="1" customWidth="1" outlineLevel="1"/>
    <col min="13" max="13" width="15.73828125" style="1" customWidth="1" outlineLevel="1"/>
    <col min="14" max="14" width="8.7421875" style="1" customWidth="1" outlineLevel="1"/>
    <col min="15" max="15" width="16.8125" style="1" customWidth="1" outlineLevel="1"/>
    <col min="16" max="256" width="9.14453125" style="1"/>
    <col min="257" max="257" width="31.34375" style="1" bestFit="1" customWidth="1"/>
    <col min="258" max="258" width="13.046875" style="1" bestFit="1" customWidth="1"/>
    <col min="259" max="259" width="9.4140625" style="1" bestFit="1" customWidth="1"/>
    <col min="260" max="260" width="16.140625" style="1" bestFit="1" customWidth="1"/>
    <col min="261" max="261" width="24.48046875" style="1" customWidth="1"/>
    <col min="262" max="271" width="0" style="1" hidden="1" customWidth="1"/>
    <col min="272" max="512" width="9.14453125" style="1"/>
    <col min="513" max="513" width="31.34375" style="1" bestFit="1" customWidth="1"/>
    <col min="514" max="514" width="13.046875" style="1" bestFit="1" customWidth="1"/>
    <col min="515" max="515" width="9.4140625" style="1" bestFit="1" customWidth="1"/>
    <col min="516" max="516" width="16.140625" style="1" bestFit="1" customWidth="1"/>
    <col min="517" max="517" width="24.48046875" style="1" customWidth="1"/>
    <col min="518" max="527" width="0" style="1" hidden="1" customWidth="1"/>
    <col min="528" max="768" width="9.14453125" style="1"/>
    <col min="769" max="769" width="31.34375" style="1" bestFit="1" customWidth="1"/>
    <col min="770" max="770" width="13.046875" style="1" bestFit="1" customWidth="1"/>
    <col min="771" max="771" width="9.4140625" style="1" bestFit="1" customWidth="1"/>
    <col min="772" max="772" width="16.140625" style="1" bestFit="1" customWidth="1"/>
    <col min="773" max="773" width="24.48046875" style="1" customWidth="1"/>
    <col min="774" max="783" width="0" style="1" hidden="1" customWidth="1"/>
    <col min="784" max="1024" width="9.14453125" style="1"/>
    <col min="1025" max="1025" width="31.34375" style="1" bestFit="1" customWidth="1"/>
    <col min="1026" max="1026" width="13.046875" style="1" bestFit="1" customWidth="1"/>
    <col min="1027" max="1027" width="9.4140625" style="1" bestFit="1" customWidth="1"/>
    <col min="1028" max="1028" width="16.140625" style="1" bestFit="1" customWidth="1"/>
    <col min="1029" max="1029" width="24.48046875" style="1" customWidth="1"/>
    <col min="1030" max="1039" width="0" style="1" hidden="1" customWidth="1"/>
    <col min="1040" max="1280" width="9.14453125" style="1"/>
    <col min="1281" max="1281" width="31.34375" style="1" bestFit="1" customWidth="1"/>
    <col min="1282" max="1282" width="13.046875" style="1" bestFit="1" customWidth="1"/>
    <col min="1283" max="1283" width="9.4140625" style="1" bestFit="1" customWidth="1"/>
    <col min="1284" max="1284" width="16.140625" style="1" bestFit="1" customWidth="1"/>
    <col min="1285" max="1285" width="24.48046875" style="1" customWidth="1"/>
    <col min="1286" max="1295" width="0" style="1" hidden="1" customWidth="1"/>
    <col min="1296" max="1536" width="9.14453125" style="1"/>
    <col min="1537" max="1537" width="31.34375" style="1" bestFit="1" customWidth="1"/>
    <col min="1538" max="1538" width="13.046875" style="1" bestFit="1" customWidth="1"/>
    <col min="1539" max="1539" width="9.4140625" style="1" bestFit="1" customWidth="1"/>
    <col min="1540" max="1540" width="16.140625" style="1" bestFit="1" customWidth="1"/>
    <col min="1541" max="1541" width="24.48046875" style="1" customWidth="1"/>
    <col min="1542" max="1551" width="0" style="1" hidden="1" customWidth="1"/>
    <col min="1552" max="1792" width="9.14453125" style="1"/>
    <col min="1793" max="1793" width="31.34375" style="1" bestFit="1" customWidth="1"/>
    <col min="1794" max="1794" width="13.046875" style="1" bestFit="1" customWidth="1"/>
    <col min="1795" max="1795" width="9.4140625" style="1" bestFit="1" customWidth="1"/>
    <col min="1796" max="1796" width="16.140625" style="1" bestFit="1" customWidth="1"/>
    <col min="1797" max="1797" width="24.48046875" style="1" customWidth="1"/>
    <col min="1798" max="1807" width="0" style="1" hidden="1" customWidth="1"/>
    <col min="1808" max="2048" width="9.14453125" style="1"/>
    <col min="2049" max="2049" width="31.34375" style="1" bestFit="1" customWidth="1"/>
    <col min="2050" max="2050" width="13.046875" style="1" bestFit="1" customWidth="1"/>
    <col min="2051" max="2051" width="9.4140625" style="1" bestFit="1" customWidth="1"/>
    <col min="2052" max="2052" width="16.140625" style="1" bestFit="1" customWidth="1"/>
    <col min="2053" max="2053" width="24.48046875" style="1" customWidth="1"/>
    <col min="2054" max="2063" width="0" style="1" hidden="1" customWidth="1"/>
    <col min="2064" max="2304" width="9.14453125" style="1"/>
    <col min="2305" max="2305" width="31.34375" style="1" bestFit="1" customWidth="1"/>
    <col min="2306" max="2306" width="13.046875" style="1" bestFit="1" customWidth="1"/>
    <col min="2307" max="2307" width="9.4140625" style="1" bestFit="1" customWidth="1"/>
    <col min="2308" max="2308" width="16.140625" style="1" bestFit="1" customWidth="1"/>
    <col min="2309" max="2309" width="24.48046875" style="1" customWidth="1"/>
    <col min="2310" max="2319" width="0" style="1" hidden="1" customWidth="1"/>
    <col min="2320" max="2560" width="9.14453125" style="1"/>
    <col min="2561" max="2561" width="31.34375" style="1" bestFit="1" customWidth="1"/>
    <col min="2562" max="2562" width="13.046875" style="1" bestFit="1" customWidth="1"/>
    <col min="2563" max="2563" width="9.4140625" style="1" bestFit="1" customWidth="1"/>
    <col min="2564" max="2564" width="16.140625" style="1" bestFit="1" customWidth="1"/>
    <col min="2565" max="2565" width="24.48046875" style="1" customWidth="1"/>
    <col min="2566" max="2575" width="0" style="1" hidden="1" customWidth="1"/>
    <col min="2576" max="2816" width="9.14453125" style="1"/>
    <col min="2817" max="2817" width="31.34375" style="1" bestFit="1" customWidth="1"/>
    <col min="2818" max="2818" width="13.046875" style="1" bestFit="1" customWidth="1"/>
    <col min="2819" max="2819" width="9.4140625" style="1" bestFit="1" customWidth="1"/>
    <col min="2820" max="2820" width="16.140625" style="1" bestFit="1" customWidth="1"/>
    <col min="2821" max="2821" width="24.48046875" style="1" customWidth="1"/>
    <col min="2822" max="2831" width="0" style="1" hidden="1" customWidth="1"/>
    <col min="2832" max="3072" width="9.14453125" style="1"/>
    <col min="3073" max="3073" width="31.34375" style="1" bestFit="1" customWidth="1"/>
    <col min="3074" max="3074" width="13.046875" style="1" bestFit="1" customWidth="1"/>
    <col min="3075" max="3075" width="9.4140625" style="1" bestFit="1" customWidth="1"/>
    <col min="3076" max="3076" width="16.140625" style="1" bestFit="1" customWidth="1"/>
    <col min="3077" max="3077" width="24.48046875" style="1" customWidth="1"/>
    <col min="3078" max="3087" width="0" style="1" hidden="1" customWidth="1"/>
    <col min="3088" max="3328" width="9.14453125" style="1"/>
    <col min="3329" max="3329" width="31.34375" style="1" bestFit="1" customWidth="1"/>
    <col min="3330" max="3330" width="13.046875" style="1" bestFit="1" customWidth="1"/>
    <col min="3331" max="3331" width="9.4140625" style="1" bestFit="1" customWidth="1"/>
    <col min="3332" max="3332" width="16.140625" style="1" bestFit="1" customWidth="1"/>
    <col min="3333" max="3333" width="24.48046875" style="1" customWidth="1"/>
    <col min="3334" max="3343" width="0" style="1" hidden="1" customWidth="1"/>
    <col min="3344" max="3584" width="9.14453125" style="1"/>
    <col min="3585" max="3585" width="31.34375" style="1" bestFit="1" customWidth="1"/>
    <col min="3586" max="3586" width="13.046875" style="1" bestFit="1" customWidth="1"/>
    <col min="3587" max="3587" width="9.4140625" style="1" bestFit="1" customWidth="1"/>
    <col min="3588" max="3588" width="16.140625" style="1" bestFit="1" customWidth="1"/>
    <col min="3589" max="3589" width="24.48046875" style="1" customWidth="1"/>
    <col min="3590" max="3599" width="0" style="1" hidden="1" customWidth="1"/>
    <col min="3600" max="3840" width="9.14453125" style="1"/>
    <col min="3841" max="3841" width="31.34375" style="1" bestFit="1" customWidth="1"/>
    <col min="3842" max="3842" width="13.046875" style="1" bestFit="1" customWidth="1"/>
    <col min="3843" max="3843" width="9.4140625" style="1" bestFit="1" customWidth="1"/>
    <col min="3844" max="3844" width="16.140625" style="1" bestFit="1" customWidth="1"/>
    <col min="3845" max="3845" width="24.48046875" style="1" customWidth="1"/>
    <col min="3846" max="3855" width="0" style="1" hidden="1" customWidth="1"/>
    <col min="3856" max="4096" width="9.14453125" style="1"/>
    <col min="4097" max="4097" width="31.34375" style="1" bestFit="1" customWidth="1"/>
    <col min="4098" max="4098" width="13.046875" style="1" bestFit="1" customWidth="1"/>
    <col min="4099" max="4099" width="9.4140625" style="1" bestFit="1" customWidth="1"/>
    <col min="4100" max="4100" width="16.140625" style="1" bestFit="1" customWidth="1"/>
    <col min="4101" max="4101" width="24.48046875" style="1" customWidth="1"/>
    <col min="4102" max="4111" width="0" style="1" hidden="1" customWidth="1"/>
    <col min="4112" max="4352" width="9.14453125" style="1"/>
    <col min="4353" max="4353" width="31.34375" style="1" bestFit="1" customWidth="1"/>
    <col min="4354" max="4354" width="13.046875" style="1" bestFit="1" customWidth="1"/>
    <col min="4355" max="4355" width="9.4140625" style="1" bestFit="1" customWidth="1"/>
    <col min="4356" max="4356" width="16.140625" style="1" bestFit="1" customWidth="1"/>
    <col min="4357" max="4357" width="24.48046875" style="1" customWidth="1"/>
    <col min="4358" max="4367" width="0" style="1" hidden="1" customWidth="1"/>
    <col min="4368" max="4608" width="9.14453125" style="1"/>
    <col min="4609" max="4609" width="31.34375" style="1" bestFit="1" customWidth="1"/>
    <col min="4610" max="4610" width="13.046875" style="1" bestFit="1" customWidth="1"/>
    <col min="4611" max="4611" width="9.4140625" style="1" bestFit="1" customWidth="1"/>
    <col min="4612" max="4612" width="16.140625" style="1" bestFit="1" customWidth="1"/>
    <col min="4613" max="4613" width="24.48046875" style="1" customWidth="1"/>
    <col min="4614" max="4623" width="0" style="1" hidden="1" customWidth="1"/>
    <col min="4624" max="4864" width="9.14453125" style="1"/>
    <col min="4865" max="4865" width="31.34375" style="1" bestFit="1" customWidth="1"/>
    <col min="4866" max="4866" width="13.046875" style="1" bestFit="1" customWidth="1"/>
    <col min="4867" max="4867" width="9.4140625" style="1" bestFit="1" customWidth="1"/>
    <col min="4868" max="4868" width="16.140625" style="1" bestFit="1" customWidth="1"/>
    <col min="4869" max="4869" width="24.48046875" style="1" customWidth="1"/>
    <col min="4870" max="4879" width="0" style="1" hidden="1" customWidth="1"/>
    <col min="4880" max="5120" width="9.14453125" style="1"/>
    <col min="5121" max="5121" width="31.34375" style="1" bestFit="1" customWidth="1"/>
    <col min="5122" max="5122" width="13.046875" style="1" bestFit="1" customWidth="1"/>
    <col min="5123" max="5123" width="9.4140625" style="1" bestFit="1" customWidth="1"/>
    <col min="5124" max="5124" width="16.140625" style="1" bestFit="1" customWidth="1"/>
    <col min="5125" max="5125" width="24.48046875" style="1" customWidth="1"/>
    <col min="5126" max="5135" width="0" style="1" hidden="1" customWidth="1"/>
    <col min="5136" max="5376" width="9.14453125" style="1"/>
    <col min="5377" max="5377" width="31.34375" style="1" bestFit="1" customWidth="1"/>
    <col min="5378" max="5378" width="13.046875" style="1" bestFit="1" customWidth="1"/>
    <col min="5379" max="5379" width="9.4140625" style="1" bestFit="1" customWidth="1"/>
    <col min="5380" max="5380" width="16.140625" style="1" bestFit="1" customWidth="1"/>
    <col min="5381" max="5381" width="24.48046875" style="1" customWidth="1"/>
    <col min="5382" max="5391" width="0" style="1" hidden="1" customWidth="1"/>
    <col min="5392" max="5632" width="9.14453125" style="1"/>
    <col min="5633" max="5633" width="31.34375" style="1" bestFit="1" customWidth="1"/>
    <col min="5634" max="5634" width="13.046875" style="1" bestFit="1" customWidth="1"/>
    <col min="5635" max="5635" width="9.4140625" style="1" bestFit="1" customWidth="1"/>
    <col min="5636" max="5636" width="16.140625" style="1" bestFit="1" customWidth="1"/>
    <col min="5637" max="5637" width="24.48046875" style="1" customWidth="1"/>
    <col min="5638" max="5647" width="0" style="1" hidden="1" customWidth="1"/>
    <col min="5648" max="5888" width="9.14453125" style="1"/>
    <col min="5889" max="5889" width="31.34375" style="1" bestFit="1" customWidth="1"/>
    <col min="5890" max="5890" width="13.046875" style="1" bestFit="1" customWidth="1"/>
    <col min="5891" max="5891" width="9.4140625" style="1" bestFit="1" customWidth="1"/>
    <col min="5892" max="5892" width="16.140625" style="1" bestFit="1" customWidth="1"/>
    <col min="5893" max="5893" width="24.48046875" style="1" customWidth="1"/>
    <col min="5894" max="5903" width="0" style="1" hidden="1" customWidth="1"/>
    <col min="5904" max="6144" width="9.14453125" style="1"/>
    <col min="6145" max="6145" width="31.34375" style="1" bestFit="1" customWidth="1"/>
    <col min="6146" max="6146" width="13.046875" style="1" bestFit="1" customWidth="1"/>
    <col min="6147" max="6147" width="9.4140625" style="1" bestFit="1" customWidth="1"/>
    <col min="6148" max="6148" width="16.140625" style="1" bestFit="1" customWidth="1"/>
    <col min="6149" max="6149" width="24.48046875" style="1" customWidth="1"/>
    <col min="6150" max="6159" width="0" style="1" hidden="1" customWidth="1"/>
    <col min="6160" max="6400" width="9.14453125" style="1"/>
    <col min="6401" max="6401" width="31.34375" style="1" bestFit="1" customWidth="1"/>
    <col min="6402" max="6402" width="13.046875" style="1" bestFit="1" customWidth="1"/>
    <col min="6403" max="6403" width="9.4140625" style="1" bestFit="1" customWidth="1"/>
    <col min="6404" max="6404" width="16.140625" style="1" bestFit="1" customWidth="1"/>
    <col min="6405" max="6405" width="24.48046875" style="1" customWidth="1"/>
    <col min="6406" max="6415" width="0" style="1" hidden="1" customWidth="1"/>
    <col min="6416" max="6656" width="9.14453125" style="1"/>
    <col min="6657" max="6657" width="31.34375" style="1" bestFit="1" customWidth="1"/>
    <col min="6658" max="6658" width="13.046875" style="1" bestFit="1" customWidth="1"/>
    <col min="6659" max="6659" width="9.4140625" style="1" bestFit="1" customWidth="1"/>
    <col min="6660" max="6660" width="16.140625" style="1" bestFit="1" customWidth="1"/>
    <col min="6661" max="6661" width="24.48046875" style="1" customWidth="1"/>
    <col min="6662" max="6671" width="0" style="1" hidden="1" customWidth="1"/>
    <col min="6672" max="6912" width="9.14453125" style="1"/>
    <col min="6913" max="6913" width="31.34375" style="1" bestFit="1" customWidth="1"/>
    <col min="6914" max="6914" width="13.046875" style="1" bestFit="1" customWidth="1"/>
    <col min="6915" max="6915" width="9.4140625" style="1" bestFit="1" customWidth="1"/>
    <col min="6916" max="6916" width="16.140625" style="1" bestFit="1" customWidth="1"/>
    <col min="6917" max="6917" width="24.48046875" style="1" customWidth="1"/>
    <col min="6918" max="6927" width="0" style="1" hidden="1" customWidth="1"/>
    <col min="6928" max="7168" width="9.14453125" style="1"/>
    <col min="7169" max="7169" width="31.34375" style="1" bestFit="1" customWidth="1"/>
    <col min="7170" max="7170" width="13.046875" style="1" bestFit="1" customWidth="1"/>
    <col min="7171" max="7171" width="9.4140625" style="1" bestFit="1" customWidth="1"/>
    <col min="7172" max="7172" width="16.140625" style="1" bestFit="1" customWidth="1"/>
    <col min="7173" max="7173" width="24.48046875" style="1" customWidth="1"/>
    <col min="7174" max="7183" width="0" style="1" hidden="1" customWidth="1"/>
    <col min="7184" max="7424" width="9.14453125" style="1"/>
    <col min="7425" max="7425" width="31.34375" style="1" bestFit="1" customWidth="1"/>
    <col min="7426" max="7426" width="13.046875" style="1" bestFit="1" customWidth="1"/>
    <col min="7427" max="7427" width="9.4140625" style="1" bestFit="1" customWidth="1"/>
    <col min="7428" max="7428" width="16.140625" style="1" bestFit="1" customWidth="1"/>
    <col min="7429" max="7429" width="24.48046875" style="1" customWidth="1"/>
    <col min="7430" max="7439" width="0" style="1" hidden="1" customWidth="1"/>
    <col min="7440" max="7680" width="9.14453125" style="1"/>
    <col min="7681" max="7681" width="31.34375" style="1" bestFit="1" customWidth="1"/>
    <col min="7682" max="7682" width="13.046875" style="1" bestFit="1" customWidth="1"/>
    <col min="7683" max="7683" width="9.4140625" style="1" bestFit="1" customWidth="1"/>
    <col min="7684" max="7684" width="16.140625" style="1" bestFit="1" customWidth="1"/>
    <col min="7685" max="7685" width="24.48046875" style="1" customWidth="1"/>
    <col min="7686" max="7695" width="0" style="1" hidden="1" customWidth="1"/>
    <col min="7696" max="7936" width="9.14453125" style="1"/>
    <col min="7937" max="7937" width="31.34375" style="1" bestFit="1" customWidth="1"/>
    <col min="7938" max="7938" width="13.046875" style="1" bestFit="1" customWidth="1"/>
    <col min="7939" max="7939" width="9.4140625" style="1" bestFit="1" customWidth="1"/>
    <col min="7940" max="7940" width="16.140625" style="1" bestFit="1" customWidth="1"/>
    <col min="7941" max="7941" width="24.48046875" style="1" customWidth="1"/>
    <col min="7942" max="7951" width="0" style="1" hidden="1" customWidth="1"/>
    <col min="7952" max="8192" width="9.14453125" style="1"/>
    <col min="8193" max="8193" width="31.34375" style="1" bestFit="1" customWidth="1"/>
    <col min="8194" max="8194" width="13.046875" style="1" bestFit="1" customWidth="1"/>
    <col min="8195" max="8195" width="9.4140625" style="1" bestFit="1" customWidth="1"/>
    <col min="8196" max="8196" width="16.140625" style="1" bestFit="1" customWidth="1"/>
    <col min="8197" max="8197" width="24.48046875" style="1" customWidth="1"/>
    <col min="8198" max="8207" width="0" style="1" hidden="1" customWidth="1"/>
    <col min="8208" max="8448" width="9.14453125" style="1"/>
    <col min="8449" max="8449" width="31.34375" style="1" bestFit="1" customWidth="1"/>
    <col min="8450" max="8450" width="13.046875" style="1" bestFit="1" customWidth="1"/>
    <col min="8451" max="8451" width="9.4140625" style="1" bestFit="1" customWidth="1"/>
    <col min="8452" max="8452" width="16.140625" style="1" bestFit="1" customWidth="1"/>
    <col min="8453" max="8453" width="24.48046875" style="1" customWidth="1"/>
    <col min="8454" max="8463" width="0" style="1" hidden="1" customWidth="1"/>
    <col min="8464" max="8704" width="9.14453125" style="1"/>
    <col min="8705" max="8705" width="31.34375" style="1" bestFit="1" customWidth="1"/>
    <col min="8706" max="8706" width="13.046875" style="1" bestFit="1" customWidth="1"/>
    <col min="8707" max="8707" width="9.4140625" style="1" bestFit="1" customWidth="1"/>
    <col min="8708" max="8708" width="16.140625" style="1" bestFit="1" customWidth="1"/>
    <col min="8709" max="8709" width="24.48046875" style="1" customWidth="1"/>
    <col min="8710" max="8719" width="0" style="1" hidden="1" customWidth="1"/>
    <col min="8720" max="8960" width="9.14453125" style="1"/>
    <col min="8961" max="8961" width="31.34375" style="1" bestFit="1" customWidth="1"/>
    <col min="8962" max="8962" width="13.046875" style="1" bestFit="1" customWidth="1"/>
    <col min="8963" max="8963" width="9.4140625" style="1" bestFit="1" customWidth="1"/>
    <col min="8964" max="8964" width="16.140625" style="1" bestFit="1" customWidth="1"/>
    <col min="8965" max="8965" width="24.48046875" style="1" customWidth="1"/>
    <col min="8966" max="8975" width="0" style="1" hidden="1" customWidth="1"/>
    <col min="8976" max="9216" width="9.14453125" style="1"/>
    <col min="9217" max="9217" width="31.34375" style="1" bestFit="1" customWidth="1"/>
    <col min="9218" max="9218" width="13.046875" style="1" bestFit="1" customWidth="1"/>
    <col min="9219" max="9219" width="9.4140625" style="1" bestFit="1" customWidth="1"/>
    <col min="9220" max="9220" width="16.140625" style="1" bestFit="1" customWidth="1"/>
    <col min="9221" max="9221" width="24.48046875" style="1" customWidth="1"/>
    <col min="9222" max="9231" width="0" style="1" hidden="1" customWidth="1"/>
    <col min="9232" max="9472" width="9.14453125" style="1"/>
    <col min="9473" max="9473" width="31.34375" style="1" bestFit="1" customWidth="1"/>
    <col min="9474" max="9474" width="13.046875" style="1" bestFit="1" customWidth="1"/>
    <col min="9475" max="9475" width="9.4140625" style="1" bestFit="1" customWidth="1"/>
    <col min="9476" max="9476" width="16.140625" style="1" bestFit="1" customWidth="1"/>
    <col min="9477" max="9477" width="24.48046875" style="1" customWidth="1"/>
    <col min="9478" max="9487" width="0" style="1" hidden="1" customWidth="1"/>
    <col min="9488" max="9728" width="9.14453125" style="1"/>
    <col min="9729" max="9729" width="31.34375" style="1" bestFit="1" customWidth="1"/>
    <col min="9730" max="9730" width="13.046875" style="1" bestFit="1" customWidth="1"/>
    <col min="9731" max="9731" width="9.4140625" style="1" bestFit="1" customWidth="1"/>
    <col min="9732" max="9732" width="16.140625" style="1" bestFit="1" customWidth="1"/>
    <col min="9733" max="9733" width="24.48046875" style="1" customWidth="1"/>
    <col min="9734" max="9743" width="0" style="1" hidden="1" customWidth="1"/>
    <col min="9744" max="9984" width="9.14453125" style="1"/>
    <col min="9985" max="9985" width="31.34375" style="1" bestFit="1" customWidth="1"/>
    <col min="9986" max="9986" width="13.046875" style="1" bestFit="1" customWidth="1"/>
    <col min="9987" max="9987" width="9.4140625" style="1" bestFit="1" customWidth="1"/>
    <col min="9988" max="9988" width="16.140625" style="1" bestFit="1" customWidth="1"/>
    <col min="9989" max="9989" width="24.48046875" style="1" customWidth="1"/>
    <col min="9990" max="9999" width="0" style="1" hidden="1" customWidth="1"/>
    <col min="10000" max="10240" width="9.14453125" style="1"/>
    <col min="10241" max="10241" width="31.34375" style="1" bestFit="1" customWidth="1"/>
    <col min="10242" max="10242" width="13.046875" style="1" bestFit="1" customWidth="1"/>
    <col min="10243" max="10243" width="9.4140625" style="1" bestFit="1" customWidth="1"/>
    <col min="10244" max="10244" width="16.140625" style="1" bestFit="1" customWidth="1"/>
    <col min="10245" max="10245" width="24.48046875" style="1" customWidth="1"/>
    <col min="10246" max="10255" width="0" style="1" hidden="1" customWidth="1"/>
    <col min="10256" max="10496" width="9.14453125" style="1"/>
    <col min="10497" max="10497" width="31.34375" style="1" bestFit="1" customWidth="1"/>
    <col min="10498" max="10498" width="13.046875" style="1" bestFit="1" customWidth="1"/>
    <col min="10499" max="10499" width="9.4140625" style="1" bestFit="1" customWidth="1"/>
    <col min="10500" max="10500" width="16.140625" style="1" bestFit="1" customWidth="1"/>
    <col min="10501" max="10501" width="24.48046875" style="1" customWidth="1"/>
    <col min="10502" max="10511" width="0" style="1" hidden="1" customWidth="1"/>
    <col min="10512" max="10752" width="9.14453125" style="1"/>
    <col min="10753" max="10753" width="31.34375" style="1" bestFit="1" customWidth="1"/>
    <col min="10754" max="10754" width="13.046875" style="1" bestFit="1" customWidth="1"/>
    <col min="10755" max="10755" width="9.4140625" style="1" bestFit="1" customWidth="1"/>
    <col min="10756" max="10756" width="16.140625" style="1" bestFit="1" customWidth="1"/>
    <col min="10757" max="10757" width="24.48046875" style="1" customWidth="1"/>
    <col min="10758" max="10767" width="0" style="1" hidden="1" customWidth="1"/>
    <col min="10768" max="11008" width="9.14453125" style="1"/>
    <col min="11009" max="11009" width="31.34375" style="1" bestFit="1" customWidth="1"/>
    <col min="11010" max="11010" width="13.046875" style="1" bestFit="1" customWidth="1"/>
    <col min="11011" max="11011" width="9.4140625" style="1" bestFit="1" customWidth="1"/>
    <col min="11012" max="11012" width="16.140625" style="1" bestFit="1" customWidth="1"/>
    <col min="11013" max="11013" width="24.48046875" style="1" customWidth="1"/>
    <col min="11014" max="11023" width="0" style="1" hidden="1" customWidth="1"/>
    <col min="11024" max="11264" width="9.14453125" style="1"/>
    <col min="11265" max="11265" width="31.34375" style="1" bestFit="1" customWidth="1"/>
    <col min="11266" max="11266" width="13.046875" style="1" bestFit="1" customWidth="1"/>
    <col min="11267" max="11267" width="9.4140625" style="1" bestFit="1" customWidth="1"/>
    <col min="11268" max="11268" width="16.140625" style="1" bestFit="1" customWidth="1"/>
    <col min="11269" max="11269" width="24.48046875" style="1" customWidth="1"/>
    <col min="11270" max="11279" width="0" style="1" hidden="1" customWidth="1"/>
    <col min="11280" max="11520" width="9.14453125" style="1"/>
    <col min="11521" max="11521" width="31.34375" style="1" bestFit="1" customWidth="1"/>
    <col min="11522" max="11522" width="13.046875" style="1" bestFit="1" customWidth="1"/>
    <col min="11523" max="11523" width="9.4140625" style="1" bestFit="1" customWidth="1"/>
    <col min="11524" max="11524" width="16.140625" style="1" bestFit="1" customWidth="1"/>
    <col min="11525" max="11525" width="24.48046875" style="1" customWidth="1"/>
    <col min="11526" max="11535" width="0" style="1" hidden="1" customWidth="1"/>
    <col min="11536" max="11776" width="9.14453125" style="1"/>
    <col min="11777" max="11777" width="31.34375" style="1" bestFit="1" customWidth="1"/>
    <col min="11778" max="11778" width="13.046875" style="1" bestFit="1" customWidth="1"/>
    <col min="11779" max="11779" width="9.4140625" style="1" bestFit="1" customWidth="1"/>
    <col min="11780" max="11780" width="16.140625" style="1" bestFit="1" customWidth="1"/>
    <col min="11781" max="11781" width="24.48046875" style="1" customWidth="1"/>
    <col min="11782" max="11791" width="0" style="1" hidden="1" customWidth="1"/>
    <col min="11792" max="12032" width="9.14453125" style="1"/>
    <col min="12033" max="12033" width="31.34375" style="1" bestFit="1" customWidth="1"/>
    <col min="12034" max="12034" width="13.046875" style="1" bestFit="1" customWidth="1"/>
    <col min="12035" max="12035" width="9.4140625" style="1" bestFit="1" customWidth="1"/>
    <col min="12036" max="12036" width="16.140625" style="1" bestFit="1" customWidth="1"/>
    <col min="12037" max="12037" width="24.48046875" style="1" customWidth="1"/>
    <col min="12038" max="12047" width="0" style="1" hidden="1" customWidth="1"/>
    <col min="12048" max="12288" width="9.14453125" style="1"/>
    <col min="12289" max="12289" width="31.34375" style="1" bestFit="1" customWidth="1"/>
    <col min="12290" max="12290" width="13.046875" style="1" bestFit="1" customWidth="1"/>
    <col min="12291" max="12291" width="9.4140625" style="1" bestFit="1" customWidth="1"/>
    <col min="12292" max="12292" width="16.140625" style="1" bestFit="1" customWidth="1"/>
    <col min="12293" max="12293" width="24.48046875" style="1" customWidth="1"/>
    <col min="12294" max="12303" width="0" style="1" hidden="1" customWidth="1"/>
    <col min="12304" max="12544" width="9.14453125" style="1"/>
    <col min="12545" max="12545" width="31.34375" style="1" bestFit="1" customWidth="1"/>
    <col min="12546" max="12546" width="13.046875" style="1" bestFit="1" customWidth="1"/>
    <col min="12547" max="12547" width="9.4140625" style="1" bestFit="1" customWidth="1"/>
    <col min="12548" max="12548" width="16.140625" style="1" bestFit="1" customWidth="1"/>
    <col min="12549" max="12549" width="24.48046875" style="1" customWidth="1"/>
    <col min="12550" max="12559" width="0" style="1" hidden="1" customWidth="1"/>
    <col min="12560" max="12800" width="9.14453125" style="1"/>
    <col min="12801" max="12801" width="31.34375" style="1" bestFit="1" customWidth="1"/>
    <col min="12802" max="12802" width="13.046875" style="1" bestFit="1" customWidth="1"/>
    <col min="12803" max="12803" width="9.4140625" style="1" bestFit="1" customWidth="1"/>
    <col min="12804" max="12804" width="16.140625" style="1" bestFit="1" customWidth="1"/>
    <col min="12805" max="12805" width="24.48046875" style="1" customWidth="1"/>
    <col min="12806" max="12815" width="0" style="1" hidden="1" customWidth="1"/>
    <col min="12816" max="13056" width="9.14453125" style="1"/>
    <col min="13057" max="13057" width="31.34375" style="1" bestFit="1" customWidth="1"/>
    <col min="13058" max="13058" width="13.046875" style="1" bestFit="1" customWidth="1"/>
    <col min="13059" max="13059" width="9.4140625" style="1" bestFit="1" customWidth="1"/>
    <col min="13060" max="13060" width="16.140625" style="1" bestFit="1" customWidth="1"/>
    <col min="13061" max="13061" width="24.48046875" style="1" customWidth="1"/>
    <col min="13062" max="13071" width="0" style="1" hidden="1" customWidth="1"/>
    <col min="13072" max="13312" width="9.14453125" style="1"/>
    <col min="13313" max="13313" width="31.34375" style="1" bestFit="1" customWidth="1"/>
    <col min="13314" max="13314" width="13.046875" style="1" bestFit="1" customWidth="1"/>
    <col min="13315" max="13315" width="9.4140625" style="1" bestFit="1" customWidth="1"/>
    <col min="13316" max="13316" width="16.140625" style="1" bestFit="1" customWidth="1"/>
    <col min="13317" max="13317" width="24.48046875" style="1" customWidth="1"/>
    <col min="13318" max="13327" width="0" style="1" hidden="1" customWidth="1"/>
    <col min="13328" max="13568" width="9.14453125" style="1"/>
    <col min="13569" max="13569" width="31.34375" style="1" bestFit="1" customWidth="1"/>
    <col min="13570" max="13570" width="13.046875" style="1" bestFit="1" customWidth="1"/>
    <col min="13571" max="13571" width="9.4140625" style="1" bestFit="1" customWidth="1"/>
    <col min="13572" max="13572" width="16.140625" style="1" bestFit="1" customWidth="1"/>
    <col min="13573" max="13573" width="24.48046875" style="1" customWidth="1"/>
    <col min="13574" max="13583" width="0" style="1" hidden="1" customWidth="1"/>
    <col min="13584" max="13824" width="9.14453125" style="1"/>
    <col min="13825" max="13825" width="31.34375" style="1" bestFit="1" customWidth="1"/>
    <col min="13826" max="13826" width="13.046875" style="1" bestFit="1" customWidth="1"/>
    <col min="13827" max="13827" width="9.4140625" style="1" bestFit="1" customWidth="1"/>
    <col min="13828" max="13828" width="16.140625" style="1" bestFit="1" customWidth="1"/>
    <col min="13829" max="13829" width="24.48046875" style="1" customWidth="1"/>
    <col min="13830" max="13839" width="0" style="1" hidden="1" customWidth="1"/>
    <col min="13840" max="14080" width="9.14453125" style="1"/>
    <col min="14081" max="14081" width="31.34375" style="1" bestFit="1" customWidth="1"/>
    <col min="14082" max="14082" width="13.046875" style="1" bestFit="1" customWidth="1"/>
    <col min="14083" max="14083" width="9.4140625" style="1" bestFit="1" customWidth="1"/>
    <col min="14084" max="14084" width="16.140625" style="1" bestFit="1" customWidth="1"/>
    <col min="14085" max="14085" width="24.48046875" style="1" customWidth="1"/>
    <col min="14086" max="14095" width="0" style="1" hidden="1" customWidth="1"/>
    <col min="14096" max="14336" width="9.14453125" style="1"/>
    <col min="14337" max="14337" width="31.34375" style="1" bestFit="1" customWidth="1"/>
    <col min="14338" max="14338" width="13.046875" style="1" bestFit="1" customWidth="1"/>
    <col min="14339" max="14339" width="9.4140625" style="1" bestFit="1" customWidth="1"/>
    <col min="14340" max="14340" width="16.140625" style="1" bestFit="1" customWidth="1"/>
    <col min="14341" max="14341" width="24.48046875" style="1" customWidth="1"/>
    <col min="14342" max="14351" width="0" style="1" hidden="1" customWidth="1"/>
    <col min="14352" max="14592" width="9.14453125" style="1"/>
    <col min="14593" max="14593" width="31.34375" style="1" bestFit="1" customWidth="1"/>
    <col min="14594" max="14594" width="13.046875" style="1" bestFit="1" customWidth="1"/>
    <col min="14595" max="14595" width="9.4140625" style="1" bestFit="1" customWidth="1"/>
    <col min="14596" max="14596" width="16.140625" style="1" bestFit="1" customWidth="1"/>
    <col min="14597" max="14597" width="24.48046875" style="1" customWidth="1"/>
    <col min="14598" max="14607" width="0" style="1" hidden="1" customWidth="1"/>
    <col min="14608" max="14848" width="9.14453125" style="1"/>
    <col min="14849" max="14849" width="31.34375" style="1" bestFit="1" customWidth="1"/>
    <col min="14850" max="14850" width="13.046875" style="1" bestFit="1" customWidth="1"/>
    <col min="14851" max="14851" width="9.4140625" style="1" bestFit="1" customWidth="1"/>
    <col min="14852" max="14852" width="16.140625" style="1" bestFit="1" customWidth="1"/>
    <col min="14853" max="14853" width="24.48046875" style="1" customWidth="1"/>
    <col min="14854" max="14863" width="0" style="1" hidden="1" customWidth="1"/>
    <col min="14864" max="15104" width="9.14453125" style="1"/>
    <col min="15105" max="15105" width="31.34375" style="1" bestFit="1" customWidth="1"/>
    <col min="15106" max="15106" width="13.046875" style="1" bestFit="1" customWidth="1"/>
    <col min="15107" max="15107" width="9.4140625" style="1" bestFit="1" customWidth="1"/>
    <col min="15108" max="15108" width="16.140625" style="1" bestFit="1" customWidth="1"/>
    <col min="15109" max="15109" width="24.48046875" style="1" customWidth="1"/>
    <col min="15110" max="15119" width="0" style="1" hidden="1" customWidth="1"/>
    <col min="15120" max="15360" width="9.14453125" style="1"/>
    <col min="15361" max="15361" width="31.34375" style="1" bestFit="1" customWidth="1"/>
    <col min="15362" max="15362" width="13.046875" style="1" bestFit="1" customWidth="1"/>
    <col min="15363" max="15363" width="9.4140625" style="1" bestFit="1" customWidth="1"/>
    <col min="15364" max="15364" width="16.140625" style="1" bestFit="1" customWidth="1"/>
    <col min="15365" max="15365" width="24.48046875" style="1" customWidth="1"/>
    <col min="15366" max="15375" width="0" style="1" hidden="1" customWidth="1"/>
    <col min="15376" max="15616" width="9.14453125" style="1"/>
    <col min="15617" max="15617" width="31.34375" style="1" bestFit="1" customWidth="1"/>
    <col min="15618" max="15618" width="13.046875" style="1" bestFit="1" customWidth="1"/>
    <col min="15619" max="15619" width="9.4140625" style="1" bestFit="1" customWidth="1"/>
    <col min="15620" max="15620" width="16.140625" style="1" bestFit="1" customWidth="1"/>
    <col min="15621" max="15621" width="24.48046875" style="1" customWidth="1"/>
    <col min="15622" max="15631" width="0" style="1" hidden="1" customWidth="1"/>
    <col min="15632" max="15872" width="9.14453125" style="1"/>
    <col min="15873" max="15873" width="31.34375" style="1" bestFit="1" customWidth="1"/>
    <col min="15874" max="15874" width="13.046875" style="1" bestFit="1" customWidth="1"/>
    <col min="15875" max="15875" width="9.4140625" style="1" bestFit="1" customWidth="1"/>
    <col min="15876" max="15876" width="16.140625" style="1" bestFit="1" customWidth="1"/>
    <col min="15877" max="15877" width="24.48046875" style="1" customWidth="1"/>
    <col min="15878" max="15887" width="0" style="1" hidden="1" customWidth="1"/>
    <col min="15888" max="16128" width="9.14453125" style="1"/>
    <col min="16129" max="16129" width="31.34375" style="1" bestFit="1" customWidth="1"/>
    <col min="16130" max="16130" width="13.046875" style="1" bestFit="1" customWidth="1"/>
    <col min="16131" max="16131" width="9.4140625" style="1" bestFit="1" customWidth="1"/>
    <col min="16132" max="16132" width="16.140625" style="1" bestFit="1" customWidth="1"/>
    <col min="16133" max="16133" width="24.48046875" style="1" customWidth="1"/>
    <col min="16134" max="16143" width="0" style="1" hidden="1" customWidth="1"/>
    <col min="16144" max="16384" width="9.14453125" style="1"/>
  </cols>
  <sheetData>
    <row r="1" spans="1:15" ht="31.5" x14ac:dyDescent="0.35">
      <c r="A1" s="27" t="s">
        <v>0</v>
      </c>
      <c r="B1" s="27"/>
      <c r="C1" s="27"/>
      <c r="D1" s="27"/>
      <c r="E1" s="27"/>
    </row>
    <row r="2" spans="1:15" x14ac:dyDescent="0.2">
      <c r="A2" s="28" t="s">
        <v>1</v>
      </c>
      <c r="B2" s="28"/>
      <c r="C2" s="28"/>
      <c r="D2" s="28"/>
      <c r="E2" s="28"/>
    </row>
    <row r="3" spans="1:15" s="8" customFormat="1" x14ac:dyDescent="0.2">
      <c r="A3" s="2">
        <f>E4+E33+E38+E46+E53+E66+E76+E88+E93+E102+E107</f>
        <v>0</v>
      </c>
      <c r="B3" s="3" t="s">
        <v>2</v>
      </c>
      <c r="C3" s="3" t="s">
        <v>3</v>
      </c>
      <c r="D3" s="4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9</v>
      </c>
      <c r="O3" s="7" t="s">
        <v>14</v>
      </c>
    </row>
    <row r="4" spans="1:15" s="8" customFormat="1" x14ac:dyDescent="0.2">
      <c r="A4" s="9" t="s">
        <v>15</v>
      </c>
      <c r="B4" s="10"/>
      <c r="C4" s="10"/>
      <c r="D4" s="11"/>
      <c r="E4" s="11">
        <f>SUM(E5:E31)</f>
        <v>0</v>
      </c>
      <c r="F4" s="12"/>
      <c r="G4" s="12"/>
      <c r="H4" s="12"/>
      <c r="I4" s="12"/>
      <c r="J4" s="12"/>
      <c r="K4" s="12"/>
      <c r="L4" s="12"/>
      <c r="M4" s="12"/>
      <c r="N4" s="12"/>
      <c r="O4" s="13"/>
    </row>
    <row r="5" spans="1:15" x14ac:dyDescent="0.2">
      <c r="A5" s="24" t="s">
        <v>16</v>
      </c>
      <c r="B5" s="14"/>
      <c r="C5" s="14" t="s">
        <v>17</v>
      </c>
      <c r="D5" s="15">
        <f t="shared" ref="D5:D31" si="0">AVERAGE(F5:O5)</f>
        <v>43.309999999999995</v>
      </c>
      <c r="E5" s="5">
        <f t="shared" ref="E5:E31" si="1">D5*B5</f>
        <v>0</v>
      </c>
      <c r="F5" s="16">
        <v>47.47</v>
      </c>
      <c r="G5" s="16">
        <v>47.47</v>
      </c>
      <c r="H5" s="16">
        <v>34.67</v>
      </c>
      <c r="I5" s="16">
        <v>47.48</v>
      </c>
      <c r="J5" s="16">
        <v>47.47</v>
      </c>
      <c r="K5" s="16"/>
      <c r="L5" s="16">
        <v>47.47</v>
      </c>
      <c r="M5" s="16"/>
      <c r="N5" s="16">
        <v>31.14</v>
      </c>
      <c r="O5" s="17"/>
    </row>
    <row r="6" spans="1:15" x14ac:dyDescent="0.2">
      <c r="A6" s="24" t="s">
        <v>18</v>
      </c>
      <c r="B6" s="14">
        <f>B5</f>
        <v>0</v>
      </c>
      <c r="C6" s="14" t="s">
        <v>17</v>
      </c>
      <c r="D6" s="15">
        <f t="shared" si="0"/>
        <v>142.4842857142857</v>
      </c>
      <c r="E6" s="5">
        <f t="shared" si="1"/>
        <v>0</v>
      </c>
      <c r="F6" s="16">
        <v>129.97</v>
      </c>
      <c r="G6" s="16">
        <v>129.97</v>
      </c>
      <c r="H6" s="16">
        <v>145.58000000000001</v>
      </c>
      <c r="I6" s="16">
        <v>140.65</v>
      </c>
      <c r="J6" s="16">
        <v>152.93</v>
      </c>
      <c r="K6" s="16"/>
      <c r="L6" s="16">
        <v>140.91999999999999</v>
      </c>
      <c r="M6" s="16"/>
      <c r="N6" s="16">
        <v>157.37</v>
      </c>
      <c r="O6" s="17"/>
    </row>
    <row r="7" spans="1:15" x14ac:dyDescent="0.2">
      <c r="A7" s="24" t="s">
        <v>19</v>
      </c>
      <c r="B7" s="14"/>
      <c r="C7" s="14" t="s">
        <v>17</v>
      </c>
      <c r="D7" s="15">
        <f t="shared" si="0"/>
        <v>44.0075</v>
      </c>
      <c r="E7" s="5">
        <f t="shared" si="1"/>
        <v>0</v>
      </c>
      <c r="F7" s="16">
        <v>47.47</v>
      </c>
      <c r="G7" s="16">
        <v>47.47</v>
      </c>
      <c r="H7" s="16"/>
      <c r="I7" s="16">
        <v>47.48</v>
      </c>
      <c r="J7" s="16">
        <v>47.47</v>
      </c>
      <c r="K7" s="16">
        <v>35.61</v>
      </c>
      <c r="L7" s="16">
        <v>47.47</v>
      </c>
      <c r="M7" s="16"/>
      <c r="N7" s="16">
        <v>31.14</v>
      </c>
      <c r="O7" s="17">
        <v>47.95</v>
      </c>
    </row>
    <row r="8" spans="1:15" x14ac:dyDescent="0.2">
      <c r="A8" s="24" t="s">
        <v>20</v>
      </c>
      <c r="B8" s="14">
        <f>B7</f>
        <v>0</v>
      </c>
      <c r="C8" s="14" t="s">
        <v>17</v>
      </c>
      <c r="D8" s="15">
        <f t="shared" si="0"/>
        <v>172.67666666666665</v>
      </c>
      <c r="E8" s="5">
        <f t="shared" si="1"/>
        <v>0</v>
      </c>
      <c r="F8" s="18"/>
      <c r="G8" s="16"/>
      <c r="H8" s="16"/>
      <c r="I8" s="16"/>
      <c r="J8" s="16"/>
      <c r="K8" s="16">
        <v>178.86</v>
      </c>
      <c r="L8" s="16"/>
      <c r="M8" s="16"/>
      <c r="N8" s="16">
        <v>175</v>
      </c>
      <c r="O8" s="17">
        <v>164.17</v>
      </c>
    </row>
    <row r="9" spans="1:15" x14ac:dyDescent="0.2">
      <c r="A9" s="24" t="s">
        <v>21</v>
      </c>
      <c r="B9" s="14"/>
      <c r="C9" s="14" t="s">
        <v>17</v>
      </c>
      <c r="D9" s="15">
        <f t="shared" si="0"/>
        <v>22.184999999999999</v>
      </c>
      <c r="E9" s="5">
        <f t="shared" si="1"/>
        <v>0</v>
      </c>
      <c r="F9" s="18"/>
      <c r="G9" s="16">
        <v>22.99</v>
      </c>
      <c r="H9" s="16">
        <v>21.38</v>
      </c>
      <c r="I9" s="16"/>
      <c r="J9" s="16"/>
      <c r="K9" s="16"/>
      <c r="L9" s="16"/>
      <c r="M9" s="16"/>
      <c r="N9" s="16"/>
      <c r="O9" s="17"/>
    </row>
    <row r="10" spans="1:15" x14ac:dyDescent="0.2">
      <c r="A10" s="24" t="s">
        <v>22</v>
      </c>
      <c r="B10" s="14"/>
      <c r="C10" s="14" t="s">
        <v>17</v>
      </c>
      <c r="D10" s="15">
        <f t="shared" si="0"/>
        <v>6.2033333333333331</v>
      </c>
      <c r="E10" s="5">
        <f t="shared" si="1"/>
        <v>0</v>
      </c>
      <c r="F10" s="16">
        <v>2.95</v>
      </c>
      <c r="G10" s="16"/>
      <c r="H10" s="16"/>
      <c r="I10" s="16"/>
      <c r="J10" s="16">
        <v>7.83</v>
      </c>
      <c r="K10" s="16"/>
      <c r="L10" s="16"/>
      <c r="M10" s="16"/>
      <c r="N10" s="16"/>
      <c r="O10" s="17">
        <v>7.83</v>
      </c>
    </row>
    <row r="11" spans="1:15" x14ac:dyDescent="0.2">
      <c r="A11" s="24" t="s">
        <v>23</v>
      </c>
      <c r="B11" s="14"/>
      <c r="C11" s="14" t="s">
        <v>17</v>
      </c>
      <c r="D11" s="15">
        <f t="shared" si="0"/>
        <v>42.06</v>
      </c>
      <c r="E11" s="5">
        <f t="shared" si="1"/>
        <v>0</v>
      </c>
      <c r="F11" s="17"/>
      <c r="G11" s="17">
        <v>42.06</v>
      </c>
      <c r="H11" s="17"/>
      <c r="I11" s="17"/>
      <c r="J11" s="17"/>
      <c r="K11" s="17"/>
      <c r="L11" s="17"/>
      <c r="M11" s="17"/>
      <c r="N11" s="17"/>
      <c r="O11" s="17"/>
    </row>
    <row r="12" spans="1:15" x14ac:dyDescent="0.2">
      <c r="A12" s="24" t="s">
        <v>24</v>
      </c>
      <c r="B12" s="14"/>
      <c r="C12" s="14" t="s">
        <v>25</v>
      </c>
      <c r="D12" s="15">
        <f t="shared" si="0"/>
        <v>1.18</v>
      </c>
      <c r="E12" s="5">
        <f t="shared" si="1"/>
        <v>0</v>
      </c>
      <c r="F12" s="17"/>
      <c r="G12" s="17">
        <v>1.18</v>
      </c>
      <c r="H12" s="17"/>
      <c r="I12" s="17"/>
      <c r="J12" s="17"/>
      <c r="K12" s="17"/>
      <c r="L12" s="17"/>
      <c r="M12" s="17"/>
      <c r="N12" s="17"/>
      <c r="O12" s="17"/>
    </row>
    <row r="13" spans="1:15" x14ac:dyDescent="0.2">
      <c r="A13" s="24" t="s">
        <v>26</v>
      </c>
      <c r="B13" s="14"/>
      <c r="C13" s="14" t="s">
        <v>17</v>
      </c>
      <c r="D13" s="15">
        <f t="shared" si="0"/>
        <v>27.35</v>
      </c>
      <c r="E13" s="5">
        <f t="shared" si="1"/>
        <v>0</v>
      </c>
      <c r="F13" s="18"/>
      <c r="G13" s="18"/>
      <c r="H13" s="18"/>
      <c r="I13" s="18"/>
      <c r="J13" s="16">
        <v>27.35</v>
      </c>
      <c r="K13" s="16"/>
      <c r="L13" s="16"/>
      <c r="M13" s="16"/>
      <c r="N13" s="16"/>
      <c r="O13" s="17">
        <v>27.35</v>
      </c>
    </row>
    <row r="14" spans="1:15" x14ac:dyDescent="0.2">
      <c r="A14" s="24" t="s">
        <v>27</v>
      </c>
      <c r="B14" s="14"/>
      <c r="C14" s="14" t="s">
        <v>17</v>
      </c>
      <c r="D14" s="15">
        <f t="shared" si="0"/>
        <v>13.38</v>
      </c>
      <c r="E14" s="5">
        <f t="shared" si="1"/>
        <v>0</v>
      </c>
      <c r="F14" s="16">
        <v>13.38</v>
      </c>
      <c r="G14" s="16"/>
      <c r="H14" s="16"/>
      <c r="I14" s="16"/>
      <c r="J14" s="16"/>
      <c r="K14" s="16"/>
      <c r="L14" s="16"/>
      <c r="M14" s="16"/>
      <c r="N14" s="16"/>
      <c r="O14" s="17"/>
    </row>
    <row r="15" spans="1:15" x14ac:dyDescent="0.2">
      <c r="A15" s="24" t="s">
        <v>28</v>
      </c>
      <c r="B15" s="14"/>
      <c r="C15" s="14" t="s">
        <v>29</v>
      </c>
      <c r="D15" s="15">
        <f t="shared" si="0"/>
        <v>3.43</v>
      </c>
      <c r="E15" s="5">
        <f t="shared" si="1"/>
        <v>0</v>
      </c>
      <c r="F15" s="16"/>
      <c r="G15" s="16">
        <v>4.07</v>
      </c>
      <c r="H15" s="16"/>
      <c r="I15" s="16"/>
      <c r="J15" s="16">
        <v>2.97</v>
      </c>
      <c r="K15" s="16">
        <v>3.25</v>
      </c>
      <c r="L15" s="16"/>
      <c r="M15" s="16"/>
      <c r="N15" s="16"/>
      <c r="O15" s="17"/>
    </row>
    <row r="16" spans="1:15" x14ac:dyDescent="0.2">
      <c r="A16" s="24" t="s">
        <v>30</v>
      </c>
      <c r="B16" s="14"/>
      <c r="C16" s="14" t="s">
        <v>31</v>
      </c>
      <c r="D16" s="15">
        <f t="shared" si="0"/>
        <v>35.369999999999997</v>
      </c>
      <c r="E16" s="5">
        <f t="shared" si="1"/>
        <v>0</v>
      </c>
      <c r="F16" s="16"/>
      <c r="G16" s="16">
        <v>39.25</v>
      </c>
      <c r="H16" s="16"/>
      <c r="I16" s="16"/>
      <c r="J16" s="16">
        <v>39.25</v>
      </c>
      <c r="K16" s="16">
        <v>28.75</v>
      </c>
      <c r="L16" s="16"/>
      <c r="M16" s="16"/>
      <c r="N16" s="16"/>
      <c r="O16" s="17">
        <v>34.229999999999997</v>
      </c>
    </row>
    <row r="17" spans="1:15" x14ac:dyDescent="0.2">
      <c r="A17" s="24" t="s">
        <v>32</v>
      </c>
      <c r="B17" s="14"/>
      <c r="C17" s="14" t="s">
        <v>31</v>
      </c>
      <c r="D17" s="15">
        <f t="shared" si="0"/>
        <v>23.523999999999994</v>
      </c>
      <c r="E17" s="5">
        <f t="shared" si="1"/>
        <v>0</v>
      </c>
      <c r="F17" s="16"/>
      <c r="G17" s="16"/>
      <c r="H17" s="16">
        <v>22.7</v>
      </c>
      <c r="I17" s="16"/>
      <c r="J17" s="16">
        <v>25.04</v>
      </c>
      <c r="K17" s="16">
        <v>27.74</v>
      </c>
      <c r="L17" s="16"/>
      <c r="M17" s="16"/>
      <c r="N17" s="16">
        <v>21.04</v>
      </c>
      <c r="O17" s="17">
        <v>21.1</v>
      </c>
    </row>
    <row r="18" spans="1:15" x14ac:dyDescent="0.2">
      <c r="A18" s="24" t="s">
        <v>33</v>
      </c>
      <c r="B18" s="14"/>
      <c r="C18" s="14" t="s">
        <v>31</v>
      </c>
      <c r="D18" s="15">
        <f t="shared" si="0"/>
        <v>52.0075</v>
      </c>
      <c r="E18" s="5">
        <f t="shared" si="1"/>
        <v>0</v>
      </c>
      <c r="F18" s="16"/>
      <c r="G18" s="16">
        <v>51.7</v>
      </c>
      <c r="H18" s="16"/>
      <c r="I18" s="16">
        <v>50.26</v>
      </c>
      <c r="J18" s="16"/>
      <c r="K18" s="16"/>
      <c r="L18" s="16">
        <v>54.29</v>
      </c>
      <c r="M18" s="16">
        <v>51.78</v>
      </c>
      <c r="N18" s="16"/>
      <c r="O18" s="17"/>
    </row>
    <row r="19" spans="1:15" x14ac:dyDescent="0.2">
      <c r="A19" s="24" t="s">
        <v>34</v>
      </c>
      <c r="B19" s="14"/>
      <c r="C19" s="14" t="s">
        <v>31</v>
      </c>
      <c r="D19" s="15">
        <f t="shared" si="0"/>
        <v>21.38</v>
      </c>
      <c r="E19" s="5">
        <f t="shared" si="1"/>
        <v>0</v>
      </c>
      <c r="F19" s="17"/>
      <c r="G19" s="17"/>
      <c r="H19" s="17"/>
      <c r="I19" s="17"/>
      <c r="J19" s="17"/>
      <c r="K19" s="17"/>
      <c r="L19" s="17"/>
      <c r="M19" s="17">
        <v>21.38</v>
      </c>
      <c r="N19" s="17"/>
      <c r="O19" s="17"/>
    </row>
    <row r="20" spans="1:15" x14ac:dyDescent="0.2">
      <c r="A20" s="24" t="s">
        <v>35</v>
      </c>
      <c r="B20" s="14"/>
      <c r="C20" s="14" t="s">
        <v>29</v>
      </c>
      <c r="D20" s="15">
        <f t="shared" si="0"/>
        <v>3.0450000000000004</v>
      </c>
      <c r="E20" s="5">
        <f t="shared" si="1"/>
        <v>0</v>
      </c>
      <c r="F20" s="16"/>
      <c r="G20" s="16"/>
      <c r="H20" s="16"/>
      <c r="I20" s="16">
        <v>2.97</v>
      </c>
      <c r="J20" s="16">
        <v>3.47</v>
      </c>
      <c r="K20" s="16"/>
      <c r="L20" s="16"/>
      <c r="M20" s="16">
        <v>2.59</v>
      </c>
      <c r="N20" s="16"/>
      <c r="O20" s="17">
        <v>3.15</v>
      </c>
    </row>
    <row r="21" spans="1:15" x14ac:dyDescent="0.2">
      <c r="A21" s="24" t="s">
        <v>36</v>
      </c>
      <c r="B21" s="14"/>
      <c r="C21" s="14" t="s">
        <v>29</v>
      </c>
      <c r="D21" s="15">
        <f t="shared" si="0"/>
        <v>191.99</v>
      </c>
      <c r="E21" s="5">
        <f t="shared" si="1"/>
        <v>0</v>
      </c>
      <c r="F21" s="17"/>
      <c r="G21" s="17"/>
      <c r="H21" s="17"/>
      <c r="I21" s="17"/>
      <c r="J21" s="17"/>
      <c r="K21" s="17"/>
      <c r="L21" s="17"/>
      <c r="M21" s="17">
        <v>191.99</v>
      </c>
      <c r="N21" s="17"/>
      <c r="O21" s="17"/>
    </row>
    <row r="22" spans="1:15" x14ac:dyDescent="0.2">
      <c r="A22" s="24" t="s">
        <v>37</v>
      </c>
      <c r="B22" s="14"/>
      <c r="C22" s="14" t="s">
        <v>29</v>
      </c>
      <c r="D22" s="15">
        <f t="shared" si="0"/>
        <v>0.57999999999999996</v>
      </c>
      <c r="E22" s="5">
        <f t="shared" si="1"/>
        <v>0</v>
      </c>
      <c r="F22" s="17"/>
      <c r="G22" s="17"/>
      <c r="H22" s="17"/>
      <c r="I22" s="17"/>
      <c r="J22" s="17"/>
      <c r="K22" s="17"/>
      <c r="L22" s="17"/>
      <c r="M22" s="17">
        <v>0.57999999999999996</v>
      </c>
      <c r="N22" s="17"/>
      <c r="O22" s="17"/>
    </row>
    <row r="23" spans="1:15" x14ac:dyDescent="0.2">
      <c r="A23" s="24" t="s">
        <v>38</v>
      </c>
      <c r="B23" s="14"/>
      <c r="C23" s="14" t="s">
        <v>29</v>
      </c>
      <c r="D23" s="15">
        <f t="shared" si="0"/>
        <v>1.4344444444444442</v>
      </c>
      <c r="E23" s="5">
        <f t="shared" si="1"/>
        <v>0</v>
      </c>
      <c r="F23" s="16">
        <v>1.28</v>
      </c>
      <c r="G23" s="16">
        <v>1.46</v>
      </c>
      <c r="H23" s="16">
        <v>1.36</v>
      </c>
      <c r="I23" s="16">
        <v>1.41</v>
      </c>
      <c r="J23" s="16">
        <v>1.46</v>
      </c>
      <c r="K23" s="16">
        <v>1.61</v>
      </c>
      <c r="L23" s="16">
        <v>1.59</v>
      </c>
      <c r="M23" s="16"/>
      <c r="N23" s="16">
        <v>1.46</v>
      </c>
      <c r="O23" s="17">
        <v>1.28</v>
      </c>
    </row>
    <row r="24" spans="1:15" x14ac:dyDescent="0.2">
      <c r="A24" s="24" t="s">
        <v>39</v>
      </c>
      <c r="B24" s="14"/>
      <c r="C24" s="14" t="s">
        <v>31</v>
      </c>
      <c r="D24" s="15">
        <f t="shared" si="0"/>
        <v>258.87</v>
      </c>
      <c r="E24" s="5">
        <f t="shared" si="1"/>
        <v>0</v>
      </c>
      <c r="F24" s="17"/>
      <c r="G24" s="17"/>
      <c r="H24" s="17"/>
      <c r="I24" s="17"/>
      <c r="J24" s="17"/>
      <c r="K24" s="17"/>
      <c r="L24" s="17"/>
      <c r="M24" s="17">
        <v>258.87</v>
      </c>
      <c r="N24" s="17"/>
      <c r="O24" s="17"/>
    </row>
    <row r="25" spans="1:15" x14ac:dyDescent="0.2">
      <c r="A25" s="24" t="s">
        <v>40</v>
      </c>
      <c r="B25" s="14"/>
      <c r="C25" s="14" t="s">
        <v>31</v>
      </c>
      <c r="D25" s="15">
        <f t="shared" si="0"/>
        <v>53.622</v>
      </c>
      <c r="E25" s="5">
        <f t="shared" si="1"/>
        <v>0</v>
      </c>
      <c r="F25" s="16"/>
      <c r="G25" s="16"/>
      <c r="H25" s="16">
        <v>34.97</v>
      </c>
      <c r="I25" s="16">
        <v>63.27</v>
      </c>
      <c r="J25" s="16"/>
      <c r="K25" s="16">
        <v>62.69</v>
      </c>
      <c r="L25" s="16">
        <v>63.39</v>
      </c>
      <c r="M25" s="16"/>
      <c r="N25" s="16">
        <v>43.79</v>
      </c>
      <c r="O25" s="17"/>
    </row>
    <row r="26" spans="1:15" x14ac:dyDescent="0.2">
      <c r="A26" s="24" t="s">
        <v>41</v>
      </c>
      <c r="B26" s="14"/>
      <c r="C26" s="14" t="s">
        <v>31</v>
      </c>
      <c r="D26" s="15">
        <f t="shared" si="0"/>
        <v>84.177499999999995</v>
      </c>
      <c r="E26" s="5">
        <f t="shared" si="1"/>
        <v>0</v>
      </c>
      <c r="F26" s="16"/>
      <c r="G26" s="16"/>
      <c r="H26" s="16">
        <v>41.18</v>
      </c>
      <c r="I26" s="16">
        <v>101.27</v>
      </c>
      <c r="J26" s="16"/>
      <c r="K26" s="16"/>
      <c r="L26" s="16">
        <v>101.39</v>
      </c>
      <c r="M26" s="16"/>
      <c r="N26" s="16">
        <v>92.87</v>
      </c>
      <c r="O26" s="17"/>
    </row>
    <row r="27" spans="1:15" x14ac:dyDescent="0.2">
      <c r="A27" s="24" t="s">
        <v>42</v>
      </c>
      <c r="B27" s="14"/>
      <c r="C27" s="14" t="s">
        <v>31</v>
      </c>
      <c r="D27" s="15">
        <f t="shared" si="0"/>
        <v>220.45</v>
      </c>
      <c r="E27" s="5">
        <f t="shared" si="1"/>
        <v>0</v>
      </c>
      <c r="F27" s="17"/>
      <c r="G27" s="17"/>
      <c r="H27" s="17"/>
      <c r="I27" s="17"/>
      <c r="J27" s="17"/>
      <c r="K27" s="17"/>
      <c r="L27" s="17"/>
      <c r="M27" s="17">
        <v>220.45</v>
      </c>
      <c r="N27" s="17"/>
      <c r="O27" s="17"/>
    </row>
    <row r="28" spans="1:15" x14ac:dyDescent="0.2">
      <c r="A28" s="24" t="s">
        <v>43</v>
      </c>
      <c r="B28" s="14"/>
      <c r="C28" s="14" t="s">
        <v>29</v>
      </c>
      <c r="D28" s="15">
        <f t="shared" si="0"/>
        <v>15.4825</v>
      </c>
      <c r="E28" s="5">
        <f t="shared" si="1"/>
        <v>0</v>
      </c>
      <c r="F28" s="16">
        <v>6.07</v>
      </c>
      <c r="G28" s="16"/>
      <c r="H28" s="16"/>
      <c r="I28" s="16"/>
      <c r="J28" s="16"/>
      <c r="K28" s="16"/>
      <c r="L28" s="16">
        <v>42.71</v>
      </c>
      <c r="M28" s="16"/>
      <c r="N28" s="16">
        <v>7.57</v>
      </c>
      <c r="O28" s="17">
        <v>5.58</v>
      </c>
    </row>
    <row r="29" spans="1:15" x14ac:dyDescent="0.2">
      <c r="A29" s="24" t="s">
        <v>44</v>
      </c>
      <c r="B29" s="14"/>
      <c r="C29" s="14" t="s">
        <v>31</v>
      </c>
      <c r="D29" s="15">
        <f t="shared" si="0"/>
        <v>76.956000000000003</v>
      </c>
      <c r="E29" s="5">
        <f t="shared" si="1"/>
        <v>0</v>
      </c>
      <c r="F29" s="16"/>
      <c r="G29" s="16"/>
      <c r="H29" s="16"/>
      <c r="I29" s="16">
        <v>42.85</v>
      </c>
      <c r="J29" s="16"/>
      <c r="K29" s="16">
        <v>108.53</v>
      </c>
      <c r="L29" s="16">
        <v>96.4</v>
      </c>
      <c r="M29" s="16">
        <v>94.02</v>
      </c>
      <c r="N29" s="16">
        <v>42.98</v>
      </c>
      <c r="O29" s="17"/>
    </row>
    <row r="30" spans="1:15" x14ac:dyDescent="0.2">
      <c r="A30" s="24" t="s">
        <v>45</v>
      </c>
      <c r="B30" s="14"/>
      <c r="C30" s="14" t="s">
        <v>29</v>
      </c>
      <c r="D30" s="15">
        <f t="shared" si="0"/>
        <v>6.98</v>
      </c>
      <c r="E30" s="5">
        <f t="shared" si="1"/>
        <v>0</v>
      </c>
      <c r="F30" s="17"/>
      <c r="G30" s="17"/>
      <c r="H30" s="17">
        <v>6.99</v>
      </c>
      <c r="I30" s="17"/>
      <c r="J30" s="17"/>
      <c r="K30" s="17"/>
      <c r="L30" s="17"/>
      <c r="M30" s="17">
        <v>6.97</v>
      </c>
      <c r="N30" s="17"/>
      <c r="O30" s="17"/>
    </row>
    <row r="31" spans="1:15" x14ac:dyDescent="0.2">
      <c r="A31" s="24" t="s">
        <v>46</v>
      </c>
      <c r="B31" s="14"/>
      <c r="C31" s="14" t="s">
        <v>31</v>
      </c>
      <c r="D31" s="15">
        <f t="shared" si="0"/>
        <v>50.508000000000003</v>
      </c>
      <c r="E31" s="5">
        <f t="shared" si="1"/>
        <v>0</v>
      </c>
      <c r="F31" s="16"/>
      <c r="G31" s="16">
        <v>20.11</v>
      </c>
      <c r="H31" s="16"/>
      <c r="I31" s="16">
        <v>155.49</v>
      </c>
      <c r="J31" s="16">
        <v>20.11</v>
      </c>
      <c r="K31" s="16">
        <v>36.72</v>
      </c>
      <c r="L31" s="16"/>
      <c r="M31" s="16"/>
      <c r="N31" s="16"/>
      <c r="O31" s="17">
        <v>20.11</v>
      </c>
    </row>
    <row r="32" spans="1:15" x14ac:dyDescent="0.2">
      <c r="A32" s="24"/>
      <c r="B32" s="14"/>
      <c r="C32" s="14"/>
      <c r="D32" s="15"/>
      <c r="E32" s="5"/>
      <c r="F32" s="16"/>
      <c r="G32" s="16"/>
      <c r="H32" s="16"/>
      <c r="I32" s="16"/>
      <c r="J32" s="16"/>
      <c r="K32" s="16"/>
      <c r="L32" s="16"/>
      <c r="M32" s="16"/>
      <c r="N32" s="16"/>
      <c r="O32" s="17"/>
    </row>
    <row r="33" spans="1:15" s="8" customFormat="1" x14ac:dyDescent="0.2">
      <c r="A33" s="9" t="s">
        <v>47</v>
      </c>
      <c r="B33" s="10"/>
      <c r="C33" s="10"/>
      <c r="D33" s="11"/>
      <c r="E33" s="11">
        <f>SUM(E34:E36)</f>
        <v>0</v>
      </c>
      <c r="F33" s="19"/>
      <c r="G33" s="19"/>
      <c r="H33" s="19"/>
      <c r="I33" s="19"/>
      <c r="J33" s="19"/>
      <c r="K33" s="19"/>
      <c r="L33" s="19"/>
      <c r="M33" s="19"/>
      <c r="N33" s="19"/>
      <c r="O33" s="13"/>
    </row>
    <row r="34" spans="1:15" x14ac:dyDescent="0.2">
      <c r="A34" s="24" t="s">
        <v>48</v>
      </c>
      <c r="B34" s="14"/>
      <c r="C34" s="14" t="s">
        <v>17</v>
      </c>
      <c r="D34" s="15">
        <f>AVERAGE(F34:O34)</f>
        <v>26.130000000000003</v>
      </c>
      <c r="E34" s="5">
        <f>D34*B34</f>
        <v>0</v>
      </c>
      <c r="F34" s="16"/>
      <c r="G34" s="16"/>
      <c r="H34" s="16"/>
      <c r="I34" s="16"/>
      <c r="J34" s="16">
        <v>27.82</v>
      </c>
      <c r="K34" s="16"/>
      <c r="L34" s="16">
        <v>24.44</v>
      </c>
      <c r="M34" s="16"/>
      <c r="N34" s="16"/>
      <c r="O34" s="17"/>
    </row>
    <row r="35" spans="1:15" x14ac:dyDescent="0.2">
      <c r="A35" s="24" t="s">
        <v>49</v>
      </c>
      <c r="B35" s="14">
        <f>B34</f>
        <v>0</v>
      </c>
      <c r="C35" s="14" t="s">
        <v>17</v>
      </c>
      <c r="D35" s="15">
        <f>AVERAGE(F35:O35)</f>
        <v>183.10000000000002</v>
      </c>
      <c r="E35" s="5">
        <f>D35*B35</f>
        <v>0</v>
      </c>
      <c r="F35" s="16"/>
      <c r="G35" s="16"/>
      <c r="H35" s="16"/>
      <c r="I35" s="16"/>
      <c r="J35" s="16">
        <v>237.71</v>
      </c>
      <c r="K35" s="16"/>
      <c r="L35" s="16">
        <v>128.49</v>
      </c>
      <c r="M35" s="16"/>
      <c r="N35" s="16"/>
      <c r="O35" s="17"/>
    </row>
    <row r="36" spans="1:15" x14ac:dyDescent="0.2">
      <c r="A36" s="24" t="s">
        <v>50</v>
      </c>
      <c r="B36" s="14"/>
      <c r="C36" s="14" t="s">
        <v>29</v>
      </c>
      <c r="D36" s="15">
        <f>AVERAGE(F36:O36)</f>
        <v>1.5249999999999999</v>
      </c>
      <c r="E36" s="5">
        <f>D36*B36</f>
        <v>0</v>
      </c>
      <c r="F36" s="16"/>
      <c r="G36" s="16"/>
      <c r="H36" s="16"/>
      <c r="I36" s="16"/>
      <c r="J36" s="16">
        <v>1.46</v>
      </c>
      <c r="K36" s="16"/>
      <c r="L36" s="16">
        <v>1.59</v>
      </c>
      <c r="M36" s="16"/>
      <c r="N36" s="16"/>
      <c r="O36" s="17"/>
    </row>
    <row r="37" spans="1:15" x14ac:dyDescent="0.2">
      <c r="A37" s="24"/>
      <c r="B37" s="14"/>
      <c r="C37" s="14"/>
      <c r="D37" s="15"/>
      <c r="E37" s="5"/>
      <c r="F37" s="16"/>
      <c r="G37" s="16"/>
      <c r="H37" s="16"/>
      <c r="I37" s="16"/>
      <c r="J37" s="16"/>
      <c r="K37" s="16"/>
      <c r="L37" s="16"/>
      <c r="M37" s="16"/>
      <c r="N37" s="16"/>
      <c r="O37" s="17"/>
    </row>
    <row r="38" spans="1:15" s="8" customFormat="1" x14ac:dyDescent="0.2">
      <c r="A38" s="9" t="s">
        <v>51</v>
      </c>
      <c r="B38" s="10"/>
      <c r="C38" s="10"/>
      <c r="D38" s="11"/>
      <c r="E38" s="11">
        <f>SUM(E39:E44)</f>
        <v>0</v>
      </c>
      <c r="F38" s="19"/>
      <c r="G38" s="19"/>
      <c r="H38" s="19"/>
      <c r="I38" s="19"/>
      <c r="J38" s="19"/>
      <c r="K38" s="19"/>
      <c r="L38" s="19"/>
      <c r="M38" s="19"/>
      <c r="N38" s="19"/>
      <c r="O38" s="13"/>
    </row>
    <row r="39" spans="1:15" x14ac:dyDescent="0.2">
      <c r="A39" s="24" t="s">
        <v>52</v>
      </c>
      <c r="B39" s="14"/>
      <c r="C39" s="14" t="s">
        <v>25</v>
      </c>
      <c r="D39" s="15">
        <f t="shared" ref="D39:D44" si="2">AVERAGE(F39:O39)</f>
        <v>1.19</v>
      </c>
      <c r="E39" s="5">
        <f t="shared" ref="E39:E44" si="3">D39*B39</f>
        <v>0</v>
      </c>
      <c r="F39" s="16"/>
      <c r="G39" s="16">
        <v>1.26</v>
      </c>
      <c r="H39" s="16"/>
      <c r="I39" s="16">
        <v>0.98</v>
      </c>
      <c r="J39" s="16"/>
      <c r="K39" s="16"/>
      <c r="L39" s="16"/>
      <c r="M39" s="16">
        <v>1.26</v>
      </c>
      <c r="N39" s="16"/>
      <c r="O39" s="17">
        <v>1.26</v>
      </c>
    </row>
    <row r="40" spans="1:15" x14ac:dyDescent="0.2">
      <c r="A40" s="24" t="s">
        <v>53</v>
      </c>
      <c r="B40" s="14"/>
      <c r="C40" s="14" t="s">
        <v>29</v>
      </c>
      <c r="D40" s="15">
        <f t="shared" si="2"/>
        <v>5.46</v>
      </c>
      <c r="E40" s="5">
        <f t="shared" si="3"/>
        <v>0</v>
      </c>
      <c r="F40" s="16"/>
      <c r="G40" s="16">
        <v>8.9</v>
      </c>
      <c r="H40" s="16"/>
      <c r="I40" s="16"/>
      <c r="J40" s="16"/>
      <c r="K40" s="16"/>
      <c r="L40" s="16"/>
      <c r="M40" s="16"/>
      <c r="N40" s="16"/>
      <c r="O40" s="17">
        <v>2.02</v>
      </c>
    </row>
    <row r="41" spans="1:15" x14ac:dyDescent="0.2">
      <c r="A41" s="24" t="s">
        <v>54</v>
      </c>
      <c r="B41" s="14"/>
      <c r="C41" s="14" t="s">
        <v>29</v>
      </c>
      <c r="D41" s="15">
        <f t="shared" si="2"/>
        <v>4.92</v>
      </c>
      <c r="E41" s="5">
        <f t="shared" si="3"/>
        <v>0</v>
      </c>
      <c r="F41" s="17"/>
      <c r="G41" s="17"/>
      <c r="H41" s="17"/>
      <c r="I41" s="17">
        <v>4.92</v>
      </c>
      <c r="J41" s="17"/>
      <c r="K41" s="17"/>
      <c r="L41" s="17"/>
      <c r="M41" s="17"/>
      <c r="N41" s="17"/>
      <c r="O41" s="17"/>
    </row>
    <row r="42" spans="1:15" x14ac:dyDescent="0.2">
      <c r="A42" s="24" t="s">
        <v>55</v>
      </c>
      <c r="B42" s="14"/>
      <c r="C42" s="14" t="s">
        <v>29</v>
      </c>
      <c r="D42" s="15">
        <f t="shared" si="2"/>
        <v>3.33</v>
      </c>
      <c r="E42" s="5">
        <f t="shared" si="3"/>
        <v>0</v>
      </c>
      <c r="F42" s="17"/>
      <c r="G42" s="17"/>
      <c r="H42" s="17"/>
      <c r="I42" s="17"/>
      <c r="J42" s="17"/>
      <c r="K42" s="17"/>
      <c r="L42" s="17"/>
      <c r="M42" s="17">
        <v>3.33</v>
      </c>
      <c r="N42" s="17"/>
      <c r="O42" s="17"/>
    </row>
    <row r="43" spans="1:15" x14ac:dyDescent="0.2">
      <c r="A43" s="24" t="s">
        <v>56</v>
      </c>
      <c r="B43" s="14"/>
      <c r="C43" s="14" t="s">
        <v>29</v>
      </c>
      <c r="D43" s="15">
        <f t="shared" si="2"/>
        <v>4.7</v>
      </c>
      <c r="E43" s="5">
        <f t="shared" si="3"/>
        <v>0</v>
      </c>
      <c r="F43" s="17"/>
      <c r="G43" s="17"/>
      <c r="H43" s="17"/>
      <c r="I43" s="17"/>
      <c r="J43" s="17"/>
      <c r="K43" s="17"/>
      <c r="L43" s="17"/>
      <c r="M43" s="17">
        <v>4.7</v>
      </c>
      <c r="N43" s="17"/>
      <c r="O43" s="17"/>
    </row>
    <row r="44" spans="1:15" x14ac:dyDescent="0.2">
      <c r="A44" s="24" t="s">
        <v>57</v>
      </c>
      <c r="B44" s="14"/>
      <c r="C44" s="14" t="s">
        <v>29</v>
      </c>
      <c r="D44" s="15">
        <f t="shared" si="2"/>
        <v>0.62333333333333341</v>
      </c>
      <c r="E44" s="5">
        <f t="shared" si="3"/>
        <v>0</v>
      </c>
      <c r="F44" s="16"/>
      <c r="G44" s="16">
        <v>0.8</v>
      </c>
      <c r="H44" s="16"/>
      <c r="I44" s="16">
        <v>0.44</v>
      </c>
      <c r="J44" s="16"/>
      <c r="K44" s="16"/>
      <c r="L44" s="16"/>
      <c r="M44" s="16">
        <v>0.63</v>
      </c>
      <c r="N44" s="16"/>
      <c r="O44" s="17"/>
    </row>
    <row r="45" spans="1:15" x14ac:dyDescent="0.2">
      <c r="A45" s="24"/>
      <c r="B45" s="14"/>
      <c r="C45" s="14"/>
      <c r="D45" s="15"/>
      <c r="E45" s="5"/>
      <c r="F45" s="16"/>
      <c r="G45" s="16"/>
      <c r="H45" s="16"/>
      <c r="I45" s="16"/>
      <c r="J45" s="16"/>
      <c r="K45" s="16"/>
      <c r="L45" s="16"/>
      <c r="M45" s="16"/>
      <c r="N45" s="16"/>
      <c r="O45" s="17"/>
    </row>
    <row r="46" spans="1:15" s="8" customFormat="1" x14ac:dyDescent="0.2">
      <c r="A46" s="9" t="s">
        <v>58</v>
      </c>
      <c r="B46" s="10"/>
      <c r="C46" s="10"/>
      <c r="D46" s="11"/>
      <c r="E46" s="11">
        <f>SUM(E47:E51)</f>
        <v>0</v>
      </c>
      <c r="F46" s="19"/>
      <c r="G46" s="19"/>
      <c r="H46" s="19"/>
      <c r="I46" s="19"/>
      <c r="J46" s="19"/>
      <c r="K46" s="19"/>
      <c r="L46" s="19"/>
      <c r="M46" s="19"/>
      <c r="N46" s="19"/>
      <c r="O46" s="13"/>
    </row>
    <row r="47" spans="1:15" x14ac:dyDescent="0.2">
      <c r="A47" s="24" t="s">
        <v>57</v>
      </c>
      <c r="B47" s="14"/>
      <c r="C47" s="14" t="s">
        <v>29</v>
      </c>
      <c r="D47" s="15">
        <f>AVERAGE(F47:O47)</f>
        <v>0.71500000000000008</v>
      </c>
      <c r="E47" s="5">
        <f>D47*B47</f>
        <v>0</v>
      </c>
      <c r="F47" s="16"/>
      <c r="G47" s="16">
        <v>0.8</v>
      </c>
      <c r="H47" s="16"/>
      <c r="I47" s="16"/>
      <c r="J47" s="16"/>
      <c r="K47" s="16"/>
      <c r="L47" s="16"/>
      <c r="M47" s="16">
        <v>0.63</v>
      </c>
      <c r="N47" s="16"/>
      <c r="O47" s="17"/>
    </row>
    <row r="48" spans="1:15" x14ac:dyDescent="0.2">
      <c r="A48" s="24" t="s">
        <v>59</v>
      </c>
      <c r="B48" s="14"/>
      <c r="C48" s="14" t="s">
        <v>25</v>
      </c>
      <c r="D48" s="15">
        <f>AVERAGE(F48:O48)</f>
        <v>0.77666666666666673</v>
      </c>
      <c r="E48" s="5">
        <f>D48*B48</f>
        <v>0</v>
      </c>
      <c r="F48" s="16">
        <v>0.85</v>
      </c>
      <c r="G48" s="16">
        <v>0.61</v>
      </c>
      <c r="H48" s="16"/>
      <c r="I48" s="16"/>
      <c r="J48" s="16"/>
      <c r="K48" s="16"/>
      <c r="L48" s="16"/>
      <c r="M48" s="16"/>
      <c r="N48" s="16"/>
      <c r="O48" s="17">
        <v>0.87</v>
      </c>
    </row>
    <row r="49" spans="1:15" x14ac:dyDescent="0.2">
      <c r="A49" s="24" t="s">
        <v>60</v>
      </c>
      <c r="B49" s="14"/>
      <c r="C49" s="14" t="s">
        <v>31</v>
      </c>
      <c r="D49" s="15">
        <f>AVERAGE(F49:O49)</f>
        <v>24.015000000000001</v>
      </c>
      <c r="E49" s="5">
        <f>D49*B49</f>
        <v>0</v>
      </c>
      <c r="F49" s="16">
        <v>26.25</v>
      </c>
      <c r="G49" s="16"/>
      <c r="H49" s="16"/>
      <c r="I49" s="16">
        <v>21.78</v>
      </c>
      <c r="J49" s="16"/>
      <c r="K49" s="16"/>
      <c r="L49" s="16"/>
      <c r="M49" s="16"/>
      <c r="N49" s="16"/>
      <c r="O49" s="17"/>
    </row>
    <row r="50" spans="1:15" x14ac:dyDescent="0.2">
      <c r="A50" s="24" t="s">
        <v>61</v>
      </c>
      <c r="B50" s="14"/>
      <c r="C50" s="14" t="s">
        <v>31</v>
      </c>
      <c r="D50" s="15">
        <f>AVERAGE(F50:O50)</f>
        <v>35.005000000000003</v>
      </c>
      <c r="E50" s="5">
        <f>D50*B50</f>
        <v>0</v>
      </c>
      <c r="F50" s="16">
        <v>34.99</v>
      </c>
      <c r="G50" s="16"/>
      <c r="H50" s="16"/>
      <c r="I50" s="16"/>
      <c r="J50" s="16"/>
      <c r="K50" s="16"/>
      <c r="L50" s="16"/>
      <c r="M50" s="16">
        <v>35.020000000000003</v>
      </c>
      <c r="N50" s="16"/>
      <c r="O50" s="17"/>
    </row>
    <row r="51" spans="1:15" x14ac:dyDescent="0.2">
      <c r="A51" s="24" t="s">
        <v>62</v>
      </c>
      <c r="B51" s="14"/>
      <c r="C51" s="14" t="s">
        <v>25</v>
      </c>
      <c r="D51" s="15">
        <f>AVERAGE(F51:O51)</f>
        <v>88.54</v>
      </c>
      <c r="E51" s="5">
        <f>D51*B51</f>
        <v>0</v>
      </c>
      <c r="F51" s="16"/>
      <c r="G51" s="16"/>
      <c r="H51" s="16"/>
      <c r="I51" s="16"/>
      <c r="J51" s="16"/>
      <c r="K51" s="16"/>
      <c r="L51" s="16">
        <v>175</v>
      </c>
      <c r="M51" s="16"/>
      <c r="N51" s="16">
        <v>2.08</v>
      </c>
      <c r="O51" s="17"/>
    </row>
    <row r="52" spans="1:15" x14ac:dyDescent="0.2">
      <c r="A52" s="24"/>
      <c r="B52" s="14"/>
      <c r="C52" s="14"/>
      <c r="D52" s="15"/>
      <c r="E52" s="5"/>
      <c r="F52" s="16"/>
      <c r="G52" s="16"/>
      <c r="H52" s="16"/>
      <c r="I52" s="16"/>
      <c r="J52" s="16"/>
      <c r="K52" s="16"/>
      <c r="L52" s="16"/>
      <c r="M52" s="16"/>
      <c r="N52" s="16"/>
      <c r="O52" s="17"/>
    </row>
    <row r="53" spans="1:15" s="8" customFormat="1" x14ac:dyDescent="0.2">
      <c r="A53" s="9" t="s">
        <v>63</v>
      </c>
      <c r="B53" s="10"/>
      <c r="C53" s="10"/>
      <c r="D53" s="11"/>
      <c r="E53" s="11">
        <f>SUM(E54:E64)</f>
        <v>0</v>
      </c>
      <c r="F53" s="12"/>
      <c r="G53" s="19"/>
      <c r="H53" s="19"/>
      <c r="I53" s="19"/>
      <c r="J53" s="19"/>
      <c r="K53" s="19"/>
      <c r="L53" s="19"/>
      <c r="M53" s="19"/>
      <c r="N53" s="19"/>
      <c r="O53" s="13"/>
    </row>
    <row r="54" spans="1:15" x14ac:dyDescent="0.2">
      <c r="A54" s="24" t="s">
        <v>64</v>
      </c>
      <c r="B54" s="14"/>
      <c r="C54" s="14" t="s">
        <v>29</v>
      </c>
      <c r="D54" s="15">
        <f t="shared" ref="D54:D64" si="4">AVERAGE(F54:O54)</f>
        <v>1.5133333333333334</v>
      </c>
      <c r="E54" s="5">
        <f t="shared" ref="E54:E64" si="5">D54*B54</f>
        <v>0</v>
      </c>
      <c r="F54" s="18"/>
      <c r="G54" s="16"/>
      <c r="H54" s="16"/>
      <c r="I54" s="16"/>
      <c r="J54" s="16">
        <v>1.43</v>
      </c>
      <c r="K54" s="16">
        <v>1.58</v>
      </c>
      <c r="L54" s="16">
        <v>1.53</v>
      </c>
      <c r="M54" s="16"/>
      <c r="N54" s="16"/>
      <c r="O54" s="17"/>
    </row>
    <row r="55" spans="1:15" x14ac:dyDescent="0.2">
      <c r="A55" s="24" t="s">
        <v>65</v>
      </c>
      <c r="B55" s="14"/>
      <c r="C55" s="14" t="s">
        <v>31</v>
      </c>
      <c r="D55" s="15">
        <f t="shared" si="4"/>
        <v>49.65</v>
      </c>
      <c r="E55" s="5">
        <f t="shared" si="5"/>
        <v>0</v>
      </c>
      <c r="F55" s="17"/>
      <c r="G55" s="17"/>
      <c r="H55" s="17"/>
      <c r="I55" s="17">
        <v>49.65</v>
      </c>
      <c r="J55" s="17"/>
      <c r="K55" s="17"/>
      <c r="L55" s="17"/>
      <c r="M55" s="17"/>
      <c r="N55" s="17"/>
      <c r="O55" s="17"/>
    </row>
    <row r="56" spans="1:15" x14ac:dyDescent="0.2">
      <c r="A56" s="24" t="s">
        <v>66</v>
      </c>
      <c r="B56" s="14"/>
      <c r="C56" s="14" t="s">
        <v>31</v>
      </c>
      <c r="D56" s="15">
        <f t="shared" si="4"/>
        <v>132.4</v>
      </c>
      <c r="E56" s="5">
        <f t="shared" si="5"/>
        <v>0</v>
      </c>
      <c r="F56" s="17"/>
      <c r="G56" s="17"/>
      <c r="H56" s="17"/>
      <c r="I56" s="17">
        <v>132.4</v>
      </c>
      <c r="J56" s="17"/>
      <c r="K56" s="17"/>
      <c r="L56" s="17"/>
      <c r="M56" s="17"/>
      <c r="N56" s="17"/>
      <c r="O56" s="17"/>
    </row>
    <row r="57" spans="1:15" x14ac:dyDescent="0.2">
      <c r="A57" s="24" t="s">
        <v>67</v>
      </c>
      <c r="B57" s="14"/>
      <c r="C57" s="14" t="s">
        <v>31</v>
      </c>
      <c r="D57" s="15">
        <f t="shared" si="4"/>
        <v>97.46</v>
      </c>
      <c r="E57" s="5">
        <f t="shared" si="5"/>
        <v>0</v>
      </c>
      <c r="F57" s="17"/>
      <c r="G57" s="17"/>
      <c r="H57" s="17"/>
      <c r="I57" s="17"/>
      <c r="J57" s="17"/>
      <c r="K57" s="17"/>
      <c r="L57" s="17"/>
      <c r="M57" s="17">
        <v>97.46</v>
      </c>
      <c r="N57" s="17"/>
      <c r="O57" s="17">
        <v>97.46</v>
      </c>
    </row>
    <row r="58" spans="1:15" x14ac:dyDescent="0.2">
      <c r="A58" s="24" t="s">
        <v>68</v>
      </c>
      <c r="B58" s="14"/>
      <c r="C58" s="14" t="s">
        <v>25</v>
      </c>
      <c r="D58" s="15">
        <f t="shared" si="4"/>
        <v>2.12</v>
      </c>
      <c r="E58" s="5">
        <f t="shared" si="5"/>
        <v>0</v>
      </c>
      <c r="F58" s="16">
        <v>2.12</v>
      </c>
      <c r="G58" s="16"/>
      <c r="H58" s="16"/>
      <c r="I58" s="16"/>
      <c r="J58" s="16"/>
      <c r="K58" s="16"/>
      <c r="L58" s="16"/>
      <c r="M58" s="16"/>
      <c r="N58" s="16"/>
      <c r="O58" s="17"/>
    </row>
    <row r="59" spans="1:15" x14ac:dyDescent="0.2">
      <c r="A59" s="24" t="s">
        <v>69</v>
      </c>
      <c r="B59" s="14"/>
      <c r="C59" s="14" t="s">
        <v>25</v>
      </c>
      <c r="D59" s="15">
        <f t="shared" si="4"/>
        <v>23.956666666666667</v>
      </c>
      <c r="E59" s="5">
        <f t="shared" si="5"/>
        <v>0</v>
      </c>
      <c r="F59" s="16">
        <v>25.17</v>
      </c>
      <c r="G59" s="16">
        <v>27.29</v>
      </c>
      <c r="H59" s="16"/>
      <c r="I59" s="16">
        <v>22.22</v>
      </c>
      <c r="J59" s="16">
        <v>27.29</v>
      </c>
      <c r="K59" s="16"/>
      <c r="L59" s="16">
        <v>20.100000000000001</v>
      </c>
      <c r="M59" s="16"/>
      <c r="N59" s="16"/>
      <c r="O59" s="17">
        <v>21.67</v>
      </c>
    </row>
    <row r="60" spans="1:15" x14ac:dyDescent="0.2">
      <c r="A60" s="24" t="s">
        <v>70</v>
      </c>
      <c r="B60" s="14"/>
      <c r="C60" s="14" t="s">
        <v>25</v>
      </c>
      <c r="D60" s="15">
        <f t="shared" si="4"/>
        <v>1.1499999999999999</v>
      </c>
      <c r="E60" s="5">
        <f t="shared" si="5"/>
        <v>0</v>
      </c>
      <c r="F60" s="17"/>
      <c r="G60" s="17"/>
      <c r="H60" s="17"/>
      <c r="I60" s="17">
        <v>1.1499999999999999</v>
      </c>
      <c r="J60" s="17"/>
      <c r="K60" s="17"/>
      <c r="L60" s="17"/>
      <c r="M60" s="17"/>
      <c r="N60" s="17"/>
      <c r="O60" s="17"/>
    </row>
    <row r="61" spans="1:15" x14ac:dyDescent="0.2">
      <c r="A61" s="24" t="s">
        <v>71</v>
      </c>
      <c r="B61" s="14"/>
      <c r="C61" s="14" t="s">
        <v>31</v>
      </c>
      <c r="D61" s="15">
        <f t="shared" si="4"/>
        <v>103.91</v>
      </c>
      <c r="E61" s="5">
        <f t="shared" si="5"/>
        <v>0</v>
      </c>
      <c r="F61" s="16"/>
      <c r="G61" s="16"/>
      <c r="H61" s="16"/>
      <c r="I61" s="16"/>
      <c r="J61" s="16"/>
      <c r="K61" s="16"/>
      <c r="L61" s="16">
        <v>103.91</v>
      </c>
      <c r="M61" s="16"/>
      <c r="N61" s="16"/>
      <c r="O61" s="17"/>
    </row>
    <row r="62" spans="1:15" x14ac:dyDescent="0.2">
      <c r="A62" s="24" t="s">
        <v>72</v>
      </c>
      <c r="B62" s="14"/>
      <c r="C62" s="14" t="s">
        <v>31</v>
      </c>
      <c r="D62" s="15">
        <f t="shared" si="4"/>
        <v>72.2</v>
      </c>
      <c r="E62" s="5">
        <f t="shared" si="5"/>
        <v>0</v>
      </c>
      <c r="F62" s="17"/>
      <c r="G62" s="17"/>
      <c r="H62" s="17"/>
      <c r="I62" s="17"/>
      <c r="J62" s="17"/>
      <c r="K62" s="17"/>
      <c r="L62" s="17"/>
      <c r="M62" s="17">
        <v>72.2</v>
      </c>
      <c r="N62" s="17"/>
      <c r="O62" s="17"/>
    </row>
    <row r="63" spans="1:15" x14ac:dyDescent="0.2">
      <c r="A63" s="24" t="s">
        <v>73</v>
      </c>
      <c r="B63" s="14"/>
      <c r="C63" s="14" t="s">
        <v>31</v>
      </c>
      <c r="D63" s="15">
        <f t="shared" si="4"/>
        <v>19.14</v>
      </c>
      <c r="E63" s="5">
        <f t="shared" si="5"/>
        <v>0</v>
      </c>
      <c r="F63" s="17"/>
      <c r="G63" s="17"/>
      <c r="H63" s="17"/>
      <c r="I63" s="17"/>
      <c r="J63" s="17"/>
      <c r="K63" s="17"/>
      <c r="L63" s="17"/>
      <c r="M63" s="17">
        <v>19.14</v>
      </c>
      <c r="N63" s="17"/>
      <c r="O63" s="17"/>
    </row>
    <row r="64" spans="1:15" x14ac:dyDescent="0.2">
      <c r="A64" s="24" t="s">
        <v>74</v>
      </c>
      <c r="B64" s="14"/>
      <c r="C64" s="14" t="s">
        <v>31</v>
      </c>
      <c r="D64" s="15">
        <f t="shared" si="4"/>
        <v>118.715</v>
      </c>
      <c r="E64" s="5">
        <f t="shared" si="5"/>
        <v>0</v>
      </c>
      <c r="F64" s="16"/>
      <c r="G64" s="16"/>
      <c r="H64" s="16"/>
      <c r="I64" s="16">
        <v>118.69</v>
      </c>
      <c r="J64" s="16"/>
      <c r="K64" s="16"/>
      <c r="L64" s="16">
        <v>118.74</v>
      </c>
      <c r="M64" s="16"/>
      <c r="N64" s="16"/>
      <c r="O64" s="17"/>
    </row>
    <row r="65" spans="1:15" x14ac:dyDescent="0.2">
      <c r="A65" s="24"/>
      <c r="B65" s="14"/>
      <c r="C65" s="14"/>
      <c r="D65" s="15"/>
      <c r="E65" s="5"/>
      <c r="F65" s="16"/>
      <c r="G65" s="16"/>
      <c r="H65" s="16"/>
      <c r="I65" s="16"/>
      <c r="J65" s="16"/>
      <c r="K65" s="16"/>
      <c r="L65" s="16"/>
      <c r="M65" s="16"/>
      <c r="N65" s="16"/>
      <c r="O65" s="17"/>
    </row>
    <row r="66" spans="1:15" s="8" customFormat="1" x14ac:dyDescent="0.2">
      <c r="A66" s="9" t="s">
        <v>75</v>
      </c>
      <c r="B66" s="10"/>
      <c r="C66" s="10"/>
      <c r="D66" s="11"/>
      <c r="E66" s="11">
        <f>SUM(E67:E74)</f>
        <v>0</v>
      </c>
      <c r="F66" s="19"/>
      <c r="G66" s="19"/>
      <c r="H66" s="19"/>
      <c r="I66" s="19"/>
      <c r="J66" s="19"/>
      <c r="K66" s="19"/>
      <c r="L66" s="19"/>
      <c r="M66" s="19"/>
      <c r="N66" s="19"/>
      <c r="O66" s="13"/>
    </row>
    <row r="67" spans="1:15" x14ac:dyDescent="0.2">
      <c r="A67" s="24" t="s">
        <v>76</v>
      </c>
      <c r="B67" s="14"/>
      <c r="C67" s="14" t="s">
        <v>31</v>
      </c>
      <c r="D67" s="15">
        <f t="shared" ref="D67:D74" si="6">AVERAGE(F67:O67)</f>
        <v>8.4</v>
      </c>
      <c r="E67" s="5">
        <f t="shared" ref="E67:E74" si="7">D67*B67</f>
        <v>0</v>
      </c>
      <c r="F67" s="16">
        <v>8.4</v>
      </c>
      <c r="G67" s="16"/>
      <c r="H67" s="16"/>
      <c r="I67" s="16"/>
      <c r="J67" s="16"/>
      <c r="K67" s="16"/>
      <c r="L67" s="16"/>
      <c r="M67" s="16"/>
      <c r="N67" s="16"/>
      <c r="O67" s="17"/>
    </row>
    <row r="68" spans="1:15" x14ac:dyDescent="0.2">
      <c r="A68" s="24" t="s">
        <v>77</v>
      </c>
      <c r="B68" s="14"/>
      <c r="C68" s="14" t="s">
        <v>31</v>
      </c>
      <c r="D68" s="15">
        <f t="shared" si="6"/>
        <v>48.59</v>
      </c>
      <c r="E68" s="5">
        <f t="shared" si="7"/>
        <v>0</v>
      </c>
      <c r="F68" s="16">
        <v>44.39</v>
      </c>
      <c r="G68" s="16"/>
      <c r="H68" s="16"/>
      <c r="I68" s="16"/>
      <c r="J68" s="16">
        <v>52.79</v>
      </c>
      <c r="K68" s="16"/>
      <c r="L68" s="16"/>
      <c r="M68" s="16"/>
      <c r="N68" s="16"/>
      <c r="O68" s="17"/>
    </row>
    <row r="69" spans="1:15" x14ac:dyDescent="0.2">
      <c r="A69" s="24" t="s">
        <v>78</v>
      </c>
      <c r="B69" s="14"/>
      <c r="C69" s="14" t="s">
        <v>79</v>
      </c>
      <c r="D69" s="15">
        <f t="shared" si="6"/>
        <v>47.92</v>
      </c>
      <c r="E69" s="5">
        <f t="shared" si="7"/>
        <v>0</v>
      </c>
      <c r="F69" s="16">
        <v>47.92</v>
      </c>
      <c r="G69" s="16"/>
      <c r="H69" s="16"/>
      <c r="I69" s="16"/>
      <c r="J69" s="16"/>
      <c r="K69" s="16"/>
      <c r="L69" s="16"/>
      <c r="M69" s="16"/>
      <c r="N69" s="16"/>
      <c r="O69" s="17"/>
    </row>
    <row r="70" spans="1:15" x14ac:dyDescent="0.2">
      <c r="A70" s="24" t="s">
        <v>80</v>
      </c>
      <c r="B70" s="14"/>
      <c r="C70" s="14" t="s">
        <v>29</v>
      </c>
      <c r="D70" s="15">
        <f t="shared" si="6"/>
        <v>26.43</v>
      </c>
      <c r="E70" s="5">
        <f t="shared" si="7"/>
        <v>0</v>
      </c>
      <c r="F70" s="16"/>
      <c r="G70" s="16"/>
      <c r="H70" s="16"/>
      <c r="I70" s="16"/>
      <c r="J70" s="16">
        <v>26.43</v>
      </c>
      <c r="K70" s="16"/>
      <c r="L70" s="16"/>
      <c r="M70" s="16"/>
      <c r="N70" s="16"/>
      <c r="O70" s="17"/>
    </row>
    <row r="71" spans="1:15" x14ac:dyDescent="0.2">
      <c r="A71" s="24" t="s">
        <v>81</v>
      </c>
      <c r="B71" s="14"/>
      <c r="C71" s="14" t="s">
        <v>31</v>
      </c>
      <c r="D71" s="15">
        <f t="shared" si="6"/>
        <v>4.8099999999999996</v>
      </c>
      <c r="E71" s="5">
        <f t="shared" si="7"/>
        <v>0</v>
      </c>
      <c r="F71" s="16">
        <v>4.8099999999999996</v>
      </c>
      <c r="G71" s="16"/>
      <c r="H71" s="16"/>
      <c r="I71" s="16"/>
      <c r="J71" s="16"/>
      <c r="K71" s="16"/>
      <c r="L71" s="16"/>
      <c r="M71" s="16"/>
      <c r="N71" s="16"/>
      <c r="O71" s="17"/>
    </row>
    <row r="72" spans="1:15" x14ac:dyDescent="0.2">
      <c r="A72" s="24" t="s">
        <v>82</v>
      </c>
      <c r="B72" s="14"/>
      <c r="C72" s="14" t="s">
        <v>25</v>
      </c>
      <c r="D72" s="15">
        <f t="shared" si="6"/>
        <v>3.2</v>
      </c>
      <c r="E72" s="5">
        <f t="shared" si="7"/>
        <v>0</v>
      </c>
      <c r="F72" s="17"/>
      <c r="G72" s="17"/>
      <c r="H72" s="17"/>
      <c r="I72" s="17">
        <v>3.2</v>
      </c>
      <c r="J72" s="17"/>
      <c r="K72" s="17"/>
      <c r="L72" s="17"/>
      <c r="M72" s="17"/>
      <c r="N72" s="17"/>
      <c r="O72" s="17"/>
    </row>
    <row r="73" spans="1:15" x14ac:dyDescent="0.2">
      <c r="A73" s="24" t="s">
        <v>83</v>
      </c>
      <c r="B73" s="14"/>
      <c r="C73" s="14" t="s">
        <v>25</v>
      </c>
      <c r="D73" s="15">
        <f t="shared" si="6"/>
        <v>0.2</v>
      </c>
      <c r="E73" s="5">
        <f t="shared" si="7"/>
        <v>0</v>
      </c>
      <c r="F73" s="16"/>
      <c r="G73" s="16"/>
      <c r="H73" s="16"/>
      <c r="I73" s="16"/>
      <c r="J73" s="16">
        <v>0.2</v>
      </c>
      <c r="K73" s="16"/>
      <c r="L73" s="16"/>
      <c r="M73" s="16"/>
      <c r="N73" s="16"/>
      <c r="O73" s="17">
        <v>0.2</v>
      </c>
    </row>
    <row r="74" spans="1:15" x14ac:dyDescent="0.2">
      <c r="A74" s="24" t="s">
        <v>84</v>
      </c>
      <c r="B74" s="14"/>
      <c r="C74" s="14" t="s">
        <v>25</v>
      </c>
      <c r="D74" s="15">
        <f t="shared" si="6"/>
        <v>0.78499999999999992</v>
      </c>
      <c r="E74" s="5">
        <f t="shared" si="7"/>
        <v>0</v>
      </c>
      <c r="F74" s="16">
        <v>0.7</v>
      </c>
      <c r="G74" s="16"/>
      <c r="H74" s="16"/>
      <c r="I74" s="16"/>
      <c r="J74" s="16"/>
      <c r="K74" s="16"/>
      <c r="L74" s="16"/>
      <c r="M74" s="16"/>
      <c r="N74" s="16"/>
      <c r="O74" s="17">
        <v>0.87</v>
      </c>
    </row>
    <row r="75" spans="1:15" x14ac:dyDescent="0.2">
      <c r="A75" s="24"/>
      <c r="B75" s="14"/>
      <c r="C75" s="14"/>
      <c r="D75" s="15"/>
      <c r="E75" s="5"/>
      <c r="F75" s="16"/>
      <c r="G75" s="16"/>
      <c r="H75" s="16"/>
      <c r="I75" s="16"/>
      <c r="J75" s="16"/>
      <c r="K75" s="16"/>
      <c r="L75" s="16"/>
      <c r="M75" s="16"/>
      <c r="N75" s="16"/>
      <c r="O75" s="17"/>
    </row>
    <row r="76" spans="1:15" s="8" customFormat="1" x14ac:dyDescent="0.2">
      <c r="A76" s="9" t="s">
        <v>85</v>
      </c>
      <c r="B76" s="10"/>
      <c r="C76" s="10"/>
      <c r="D76" s="11"/>
      <c r="E76" s="11">
        <f>SUM(E77:E86)</f>
        <v>0</v>
      </c>
      <c r="F76" s="19"/>
      <c r="G76" s="19"/>
      <c r="H76" s="19"/>
      <c r="I76" s="19"/>
      <c r="J76" s="19"/>
      <c r="K76" s="19"/>
      <c r="L76" s="19"/>
      <c r="M76" s="19"/>
      <c r="N76" s="19"/>
      <c r="O76" s="13"/>
    </row>
    <row r="77" spans="1:15" x14ac:dyDescent="0.2">
      <c r="A77" s="24" t="s">
        <v>86</v>
      </c>
      <c r="B77" s="14"/>
      <c r="C77" s="14" t="s">
        <v>31</v>
      </c>
      <c r="D77" s="15">
        <f t="shared" ref="D77:D86" si="8">AVERAGE(F77:O77)</f>
        <v>39.299999999999997</v>
      </c>
      <c r="E77" s="5">
        <f t="shared" ref="E77:E86" si="9">D77*B77</f>
        <v>0</v>
      </c>
      <c r="F77" s="16"/>
      <c r="G77" s="16"/>
      <c r="H77" s="16"/>
      <c r="I77" s="16"/>
      <c r="J77" s="16"/>
      <c r="K77" s="16"/>
      <c r="L77" s="16">
        <v>39.299999999999997</v>
      </c>
      <c r="M77" s="16"/>
      <c r="N77" s="16"/>
      <c r="O77" s="17"/>
    </row>
    <row r="78" spans="1:15" x14ac:dyDescent="0.2">
      <c r="A78" s="24" t="s">
        <v>87</v>
      </c>
      <c r="B78" s="14"/>
      <c r="C78" s="14" t="s">
        <v>25</v>
      </c>
      <c r="D78" s="15">
        <f t="shared" si="8"/>
        <v>0.9</v>
      </c>
      <c r="E78" s="5">
        <f t="shared" si="9"/>
        <v>0</v>
      </c>
      <c r="F78" s="16"/>
      <c r="G78" s="16"/>
      <c r="H78" s="16"/>
      <c r="I78" s="16"/>
      <c r="J78" s="16"/>
      <c r="K78" s="16"/>
      <c r="L78" s="16">
        <v>0.9</v>
      </c>
      <c r="M78" s="16"/>
      <c r="N78" s="16"/>
      <c r="O78" s="17"/>
    </row>
    <row r="79" spans="1:15" x14ac:dyDescent="0.2">
      <c r="A79" s="24" t="s">
        <v>88</v>
      </c>
      <c r="B79" s="14"/>
      <c r="C79" s="14" t="s">
        <v>25</v>
      </c>
      <c r="D79" s="15">
        <f t="shared" si="8"/>
        <v>0.28500000000000003</v>
      </c>
      <c r="E79" s="5">
        <f t="shared" si="9"/>
        <v>0</v>
      </c>
      <c r="F79" s="16"/>
      <c r="G79" s="16"/>
      <c r="H79" s="16"/>
      <c r="I79" s="16"/>
      <c r="J79" s="16"/>
      <c r="K79" s="16"/>
      <c r="L79" s="16">
        <v>0.34</v>
      </c>
      <c r="M79" s="16">
        <v>0.23</v>
      </c>
      <c r="N79" s="16"/>
      <c r="O79" s="17"/>
    </row>
    <row r="80" spans="1:15" x14ac:dyDescent="0.2">
      <c r="A80" s="24" t="s">
        <v>89</v>
      </c>
      <c r="B80" s="14"/>
      <c r="C80" s="14" t="s">
        <v>25</v>
      </c>
      <c r="D80" s="15">
        <f t="shared" si="8"/>
        <v>0.92</v>
      </c>
      <c r="E80" s="5">
        <f t="shared" si="9"/>
        <v>0</v>
      </c>
      <c r="F80" s="16"/>
      <c r="G80" s="16"/>
      <c r="H80" s="16"/>
      <c r="I80" s="16"/>
      <c r="J80" s="16"/>
      <c r="K80" s="16"/>
      <c r="L80" s="16">
        <v>0.92</v>
      </c>
      <c r="M80" s="16"/>
      <c r="N80" s="16"/>
      <c r="O80" s="17"/>
    </row>
    <row r="81" spans="1:15" x14ac:dyDescent="0.2">
      <c r="A81" s="24" t="s">
        <v>90</v>
      </c>
      <c r="B81" s="14"/>
      <c r="C81" s="14" t="s">
        <v>25</v>
      </c>
      <c r="D81" s="15">
        <f t="shared" si="8"/>
        <v>1.075</v>
      </c>
      <c r="E81" s="5">
        <f t="shared" si="9"/>
        <v>0</v>
      </c>
      <c r="F81" s="16"/>
      <c r="G81" s="16"/>
      <c r="H81" s="16"/>
      <c r="I81" s="16"/>
      <c r="J81" s="16"/>
      <c r="K81" s="16"/>
      <c r="L81" s="16">
        <v>0.7</v>
      </c>
      <c r="M81" s="16">
        <v>1.45</v>
      </c>
      <c r="N81" s="16"/>
      <c r="O81" s="17"/>
    </row>
    <row r="82" spans="1:15" x14ac:dyDescent="0.2">
      <c r="A82" s="24" t="s">
        <v>57</v>
      </c>
      <c r="B82" s="14"/>
      <c r="C82" s="14" t="s">
        <v>25</v>
      </c>
      <c r="D82" s="15">
        <f t="shared" si="8"/>
        <v>0.63</v>
      </c>
      <c r="E82" s="5">
        <f t="shared" si="9"/>
        <v>0</v>
      </c>
      <c r="F82" s="17"/>
      <c r="G82" s="17"/>
      <c r="H82" s="17"/>
      <c r="I82" s="17"/>
      <c r="J82" s="17"/>
      <c r="K82" s="17"/>
      <c r="L82" s="17"/>
      <c r="M82" s="17">
        <v>0.63</v>
      </c>
      <c r="N82" s="17"/>
      <c r="O82" s="17"/>
    </row>
    <row r="83" spans="1:15" x14ac:dyDescent="0.2">
      <c r="A83" s="24" t="s">
        <v>91</v>
      </c>
      <c r="B83" s="14"/>
      <c r="C83" s="14" t="s">
        <v>25</v>
      </c>
      <c r="D83" s="15">
        <f t="shared" si="8"/>
        <v>0.33</v>
      </c>
      <c r="E83" s="5">
        <f t="shared" si="9"/>
        <v>0</v>
      </c>
      <c r="F83" s="16"/>
      <c r="G83" s="16"/>
      <c r="H83" s="16"/>
      <c r="I83" s="16"/>
      <c r="J83" s="16"/>
      <c r="K83" s="16"/>
      <c r="L83" s="16">
        <v>0.33</v>
      </c>
      <c r="M83" s="16"/>
      <c r="N83" s="16"/>
      <c r="O83" s="17"/>
    </row>
    <row r="84" spans="1:15" x14ac:dyDescent="0.2">
      <c r="A84" s="24" t="s">
        <v>92</v>
      </c>
      <c r="B84" s="14"/>
      <c r="C84" s="14" t="s">
        <v>31</v>
      </c>
      <c r="D84" s="15">
        <f t="shared" si="8"/>
        <v>113.42</v>
      </c>
      <c r="E84" s="5">
        <f t="shared" si="9"/>
        <v>0</v>
      </c>
      <c r="F84" s="16"/>
      <c r="G84" s="16"/>
      <c r="H84" s="16"/>
      <c r="I84" s="16"/>
      <c r="J84" s="16"/>
      <c r="K84" s="16"/>
      <c r="L84" s="16">
        <v>113.42</v>
      </c>
      <c r="M84" s="16"/>
      <c r="N84" s="16"/>
      <c r="O84" s="17"/>
    </row>
    <row r="85" spans="1:15" x14ac:dyDescent="0.2">
      <c r="A85" s="24" t="s">
        <v>93</v>
      </c>
      <c r="B85" s="14"/>
      <c r="C85" s="14" t="s">
        <v>25</v>
      </c>
      <c r="D85" s="15">
        <f t="shared" si="8"/>
        <v>1.165</v>
      </c>
      <c r="E85" s="5">
        <f t="shared" si="9"/>
        <v>0</v>
      </c>
      <c r="F85" s="16"/>
      <c r="G85" s="16"/>
      <c r="H85" s="16"/>
      <c r="I85" s="16"/>
      <c r="J85" s="16"/>
      <c r="K85" s="16"/>
      <c r="L85" s="16">
        <v>1.37</v>
      </c>
      <c r="M85" s="16">
        <v>0.96</v>
      </c>
      <c r="N85" s="16"/>
      <c r="O85" s="17"/>
    </row>
    <row r="86" spans="1:15" x14ac:dyDescent="0.2">
      <c r="A86" s="24" t="s">
        <v>94</v>
      </c>
      <c r="B86" s="14"/>
      <c r="C86" s="14" t="s">
        <v>25</v>
      </c>
      <c r="D86" s="15">
        <f t="shared" si="8"/>
        <v>0.44</v>
      </c>
      <c r="E86" s="5">
        <f t="shared" si="9"/>
        <v>0</v>
      </c>
      <c r="F86" s="16"/>
      <c r="G86" s="16"/>
      <c r="H86" s="16"/>
      <c r="I86" s="16"/>
      <c r="J86" s="16"/>
      <c r="K86" s="16"/>
      <c r="L86" s="16">
        <v>0.44</v>
      </c>
      <c r="M86" s="16"/>
      <c r="N86" s="16"/>
      <c r="O86" s="17"/>
    </row>
    <row r="87" spans="1:15" x14ac:dyDescent="0.2">
      <c r="A87" s="24"/>
      <c r="B87" s="14"/>
      <c r="C87" s="14"/>
      <c r="D87" s="15"/>
      <c r="E87" s="5"/>
      <c r="F87" s="16"/>
      <c r="G87" s="16"/>
      <c r="H87" s="16"/>
      <c r="I87" s="16"/>
      <c r="J87" s="16"/>
      <c r="K87" s="16"/>
      <c r="L87" s="16"/>
      <c r="M87" s="16"/>
      <c r="N87" s="16"/>
      <c r="O87" s="17"/>
    </row>
    <row r="88" spans="1:15" s="8" customFormat="1" x14ac:dyDescent="0.2">
      <c r="A88" s="9" t="s">
        <v>95</v>
      </c>
      <c r="B88" s="10"/>
      <c r="C88" s="10"/>
      <c r="D88" s="11"/>
      <c r="E88" s="11">
        <f>SUM(E89:E91)</f>
        <v>0</v>
      </c>
      <c r="F88" s="19"/>
      <c r="G88" s="19"/>
      <c r="H88" s="19"/>
      <c r="I88" s="19"/>
      <c r="J88" s="19"/>
      <c r="K88" s="19"/>
      <c r="L88" s="19"/>
      <c r="M88" s="19"/>
      <c r="N88" s="19"/>
      <c r="O88" s="13"/>
    </row>
    <row r="89" spans="1:15" x14ac:dyDescent="0.2">
      <c r="A89" s="24" t="s">
        <v>96</v>
      </c>
      <c r="B89" s="14"/>
      <c r="C89" s="14" t="s">
        <v>31</v>
      </c>
      <c r="D89" s="15">
        <f>AVERAGE(F89:O89)</f>
        <v>101.84</v>
      </c>
      <c r="E89" s="5">
        <f>D89*B89</f>
        <v>0</v>
      </c>
      <c r="F89" s="16"/>
      <c r="G89" s="16"/>
      <c r="H89" s="16"/>
      <c r="I89" s="16">
        <v>135</v>
      </c>
      <c r="J89" s="16"/>
      <c r="K89" s="16"/>
      <c r="L89" s="16"/>
      <c r="M89" s="16"/>
      <c r="N89" s="16"/>
      <c r="O89" s="17">
        <v>68.680000000000007</v>
      </c>
    </row>
    <row r="90" spans="1:15" x14ac:dyDescent="0.2">
      <c r="A90" s="24" t="s">
        <v>97</v>
      </c>
      <c r="B90" s="14"/>
      <c r="C90" s="14" t="s">
        <v>31</v>
      </c>
      <c r="D90" s="15">
        <f>AVERAGE(F90:O90)</f>
        <v>33.32</v>
      </c>
      <c r="E90" s="5">
        <f>D90*B90</f>
        <v>0</v>
      </c>
      <c r="F90" s="16"/>
      <c r="G90" s="16"/>
      <c r="H90" s="16"/>
      <c r="I90" s="16">
        <v>33.32</v>
      </c>
      <c r="J90" s="16"/>
      <c r="K90" s="16"/>
      <c r="L90" s="16"/>
      <c r="M90" s="16"/>
      <c r="N90" s="16"/>
      <c r="O90" s="17"/>
    </row>
    <row r="91" spans="1:15" x14ac:dyDescent="0.2">
      <c r="A91" s="25" t="s">
        <v>98</v>
      </c>
      <c r="B91" s="14"/>
      <c r="C91" s="14" t="s">
        <v>31</v>
      </c>
      <c r="D91" s="15">
        <f>AVERAGE(F91:O91)</f>
        <v>257.29000000000002</v>
      </c>
      <c r="E91" s="5">
        <f>D91*B91</f>
        <v>0</v>
      </c>
      <c r="F91" s="20"/>
      <c r="G91" s="20"/>
      <c r="H91" s="20"/>
      <c r="I91" s="20">
        <v>257.29000000000002</v>
      </c>
      <c r="J91" s="20"/>
      <c r="K91" s="20"/>
      <c r="L91" s="20"/>
      <c r="M91" s="20"/>
      <c r="N91" s="20"/>
      <c r="O91" s="17"/>
    </row>
    <row r="92" spans="1:15" x14ac:dyDescent="0.2">
      <c r="A92" s="25"/>
      <c r="B92" s="14"/>
      <c r="C92" s="14"/>
      <c r="D92" s="15"/>
      <c r="E92" s="5"/>
      <c r="F92" s="20"/>
      <c r="G92" s="20"/>
      <c r="H92" s="20"/>
      <c r="I92" s="20"/>
      <c r="J92" s="20"/>
      <c r="K92" s="20"/>
      <c r="L92" s="20"/>
      <c r="M92" s="20"/>
      <c r="N92" s="20"/>
      <c r="O92" s="17"/>
    </row>
    <row r="93" spans="1:15" s="8" customFormat="1" x14ac:dyDescent="0.2">
      <c r="A93" s="9" t="s">
        <v>99</v>
      </c>
      <c r="B93" s="10"/>
      <c r="C93" s="10"/>
      <c r="D93" s="11"/>
      <c r="E93" s="11">
        <f>SUM(E94:E100)</f>
        <v>0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 spans="1:15" x14ac:dyDescent="0.2">
      <c r="A94" s="24" t="s">
        <v>100</v>
      </c>
      <c r="B94" s="14"/>
      <c r="C94" s="14" t="s">
        <v>25</v>
      </c>
      <c r="D94" s="15">
        <f t="shared" ref="D94:D100" si="10">AVERAGE(F94:O94)</f>
        <v>11.02</v>
      </c>
      <c r="E94" s="5">
        <f t="shared" ref="E94:E100" si="11">D94*B94</f>
        <v>0</v>
      </c>
      <c r="F94" s="17"/>
      <c r="G94" s="17"/>
      <c r="H94" s="17"/>
      <c r="I94" s="17"/>
      <c r="J94" s="17"/>
      <c r="K94" s="17"/>
      <c r="L94" s="17"/>
      <c r="M94" s="17">
        <v>11.02</v>
      </c>
      <c r="N94" s="17"/>
      <c r="O94" s="17"/>
    </row>
    <row r="95" spans="1:15" x14ac:dyDescent="0.2">
      <c r="A95" s="24" t="s">
        <v>101</v>
      </c>
      <c r="B95" s="14"/>
      <c r="C95" s="14" t="s">
        <v>25</v>
      </c>
      <c r="D95" s="15">
        <f t="shared" si="10"/>
        <v>1.73</v>
      </c>
      <c r="E95" s="5">
        <f t="shared" si="11"/>
        <v>0</v>
      </c>
      <c r="F95" s="17"/>
      <c r="G95" s="17"/>
      <c r="H95" s="17"/>
      <c r="I95" s="17"/>
      <c r="J95" s="17"/>
      <c r="K95" s="17"/>
      <c r="L95" s="17"/>
      <c r="M95" s="17">
        <v>1.73</v>
      </c>
      <c r="N95" s="17"/>
      <c r="O95" s="17"/>
    </row>
    <row r="96" spans="1:15" x14ac:dyDescent="0.2">
      <c r="A96" s="24" t="s">
        <v>102</v>
      </c>
      <c r="B96" s="14"/>
      <c r="C96" s="14" t="s">
        <v>29</v>
      </c>
      <c r="D96" s="15">
        <f t="shared" si="10"/>
        <v>4.9400000000000004</v>
      </c>
      <c r="E96" s="5">
        <f t="shared" si="11"/>
        <v>0</v>
      </c>
      <c r="F96" s="17"/>
      <c r="G96" s="17"/>
      <c r="H96" s="17"/>
      <c r="I96" s="17"/>
      <c r="J96" s="17"/>
      <c r="K96" s="17"/>
      <c r="L96" s="17"/>
      <c r="M96" s="17">
        <v>4.9400000000000004</v>
      </c>
      <c r="N96" s="17"/>
      <c r="O96" s="17"/>
    </row>
    <row r="97" spans="1:15" x14ac:dyDescent="0.2">
      <c r="A97" s="24" t="s">
        <v>103</v>
      </c>
      <c r="B97" s="14"/>
      <c r="C97" s="14" t="s">
        <v>25</v>
      </c>
      <c r="D97" s="15">
        <f t="shared" si="10"/>
        <v>0.15</v>
      </c>
      <c r="E97" s="5">
        <f t="shared" si="11"/>
        <v>0</v>
      </c>
      <c r="F97" s="17"/>
      <c r="G97" s="17"/>
      <c r="H97" s="17"/>
      <c r="I97" s="17"/>
      <c r="J97" s="17"/>
      <c r="K97" s="17"/>
      <c r="L97" s="17"/>
      <c r="M97" s="17">
        <v>0.15</v>
      </c>
      <c r="N97" s="17"/>
      <c r="O97" s="17"/>
    </row>
    <row r="98" spans="1:15" x14ac:dyDescent="0.2">
      <c r="A98" s="24" t="s">
        <v>104</v>
      </c>
      <c r="B98" s="14"/>
      <c r="C98" s="14" t="s">
        <v>25</v>
      </c>
      <c r="D98" s="15">
        <f t="shared" si="10"/>
        <v>0.64</v>
      </c>
      <c r="E98" s="5">
        <f t="shared" si="11"/>
        <v>0</v>
      </c>
      <c r="F98" s="17"/>
      <c r="G98" s="17"/>
      <c r="H98" s="17"/>
      <c r="I98" s="17"/>
      <c r="J98" s="17"/>
      <c r="K98" s="17"/>
      <c r="L98" s="17"/>
      <c r="M98" s="17">
        <v>0.64</v>
      </c>
      <c r="N98" s="17"/>
      <c r="O98" s="17"/>
    </row>
    <row r="99" spans="1:15" x14ac:dyDescent="0.2">
      <c r="A99" s="24" t="s">
        <v>105</v>
      </c>
      <c r="B99" s="14"/>
      <c r="C99" s="14" t="s">
        <v>25</v>
      </c>
      <c r="D99" s="15">
        <f t="shared" si="10"/>
        <v>2.61</v>
      </c>
      <c r="E99" s="5">
        <f t="shared" si="11"/>
        <v>0</v>
      </c>
      <c r="F99" s="17"/>
      <c r="G99" s="17"/>
      <c r="H99" s="17"/>
      <c r="I99" s="17"/>
      <c r="J99" s="17"/>
      <c r="K99" s="17"/>
      <c r="L99" s="17"/>
      <c r="M99" s="17">
        <v>2.61</v>
      </c>
      <c r="N99" s="17"/>
      <c r="O99" s="17"/>
    </row>
    <row r="100" spans="1:15" x14ac:dyDescent="0.2">
      <c r="A100" s="24" t="s">
        <v>106</v>
      </c>
      <c r="B100" s="14"/>
      <c r="C100" s="14" t="s">
        <v>25</v>
      </c>
      <c r="D100" s="15">
        <f t="shared" si="10"/>
        <v>0.35</v>
      </c>
      <c r="E100" s="5">
        <f t="shared" si="11"/>
        <v>0</v>
      </c>
      <c r="F100" s="17"/>
      <c r="G100" s="17"/>
      <c r="H100" s="17"/>
      <c r="I100" s="17"/>
      <c r="J100" s="17"/>
      <c r="K100" s="17"/>
      <c r="L100" s="17"/>
      <c r="M100" s="17">
        <v>0.35</v>
      </c>
      <c r="N100" s="17"/>
      <c r="O100" s="17"/>
    </row>
    <row r="101" spans="1:15" x14ac:dyDescent="0.2">
      <c r="A101" s="24"/>
      <c r="B101" s="14"/>
      <c r="C101" s="14"/>
      <c r="D101" s="15"/>
      <c r="E101" s="5"/>
      <c r="F101" s="17"/>
      <c r="G101" s="17"/>
      <c r="H101" s="17"/>
      <c r="I101" s="17"/>
      <c r="J101" s="17"/>
      <c r="K101" s="17"/>
      <c r="L101" s="17"/>
      <c r="M101" s="17"/>
      <c r="N101" s="17"/>
      <c r="O101" s="17"/>
    </row>
    <row r="102" spans="1:15" s="8" customFormat="1" x14ac:dyDescent="0.2">
      <c r="A102" s="9" t="s">
        <v>107</v>
      </c>
      <c r="B102" s="10"/>
      <c r="C102" s="10"/>
      <c r="D102" s="11"/>
      <c r="E102" s="11">
        <f>SUM(E103:E105)</f>
        <v>0</v>
      </c>
      <c r="F102" s="13"/>
      <c r="G102" s="13"/>
      <c r="H102" s="13"/>
      <c r="I102" s="13"/>
      <c r="J102" s="13"/>
      <c r="K102" s="13"/>
      <c r="L102" s="13"/>
      <c r="M102" s="13"/>
      <c r="N102" s="13"/>
      <c r="O102" s="13"/>
    </row>
    <row r="103" spans="1:15" x14ac:dyDescent="0.2">
      <c r="A103" s="24" t="s">
        <v>108</v>
      </c>
      <c r="B103" s="14"/>
      <c r="C103" s="14" t="s">
        <v>31</v>
      </c>
      <c r="D103" s="15">
        <f>AVERAGE(F103:O103)</f>
        <v>1314.43</v>
      </c>
      <c r="E103" s="5">
        <f>D103*B103</f>
        <v>0</v>
      </c>
      <c r="F103" s="17"/>
      <c r="G103" s="17"/>
      <c r="H103" s="17"/>
      <c r="I103" s="17"/>
      <c r="J103" s="17"/>
      <c r="K103" s="17"/>
      <c r="L103" s="17"/>
      <c r="M103" s="17">
        <v>1314.43</v>
      </c>
      <c r="N103" s="17"/>
      <c r="O103" s="17"/>
    </row>
    <row r="104" spans="1:15" x14ac:dyDescent="0.2">
      <c r="A104" s="24" t="s">
        <v>109</v>
      </c>
      <c r="B104" s="14"/>
      <c r="C104" s="14" t="s">
        <v>31</v>
      </c>
      <c r="D104" s="15">
        <f>AVERAGE(F104:O104)</f>
        <v>5.41</v>
      </c>
      <c r="E104" s="5">
        <f>D104*B104</f>
        <v>0</v>
      </c>
      <c r="F104" s="17"/>
      <c r="G104" s="17"/>
      <c r="H104" s="17"/>
      <c r="I104" s="17"/>
      <c r="J104" s="17"/>
      <c r="K104" s="17"/>
      <c r="L104" s="17"/>
      <c r="M104" s="17">
        <v>5.41</v>
      </c>
      <c r="N104" s="17"/>
      <c r="O104" s="17"/>
    </row>
    <row r="105" spans="1:15" x14ac:dyDescent="0.2">
      <c r="A105" s="24" t="s">
        <v>110</v>
      </c>
      <c r="B105" s="14"/>
      <c r="C105" s="14" t="s">
        <v>31</v>
      </c>
      <c r="D105" s="15">
        <f>AVERAGE(F105:O105)</f>
        <v>74.16</v>
      </c>
      <c r="E105" s="5">
        <f>D105*B105</f>
        <v>0</v>
      </c>
      <c r="F105" s="17"/>
      <c r="G105" s="17"/>
      <c r="H105" s="17"/>
      <c r="I105" s="17"/>
      <c r="J105" s="17"/>
      <c r="K105" s="17"/>
      <c r="L105" s="17"/>
      <c r="M105" s="17">
        <v>74.16</v>
      </c>
      <c r="N105" s="17"/>
      <c r="O105" s="17"/>
    </row>
    <row r="106" spans="1:15" x14ac:dyDescent="0.2">
      <c r="A106" s="24"/>
      <c r="B106" s="14"/>
      <c r="C106" s="14"/>
      <c r="D106" s="15"/>
      <c r="E106" s="5"/>
      <c r="F106" s="17"/>
      <c r="G106" s="17"/>
      <c r="H106" s="17"/>
      <c r="I106" s="17"/>
      <c r="J106" s="17"/>
      <c r="K106" s="17"/>
      <c r="L106" s="17"/>
      <c r="M106" s="17"/>
      <c r="N106" s="17"/>
      <c r="O106" s="17"/>
    </row>
    <row r="107" spans="1:15" s="8" customFormat="1" x14ac:dyDescent="0.2">
      <c r="A107" s="9" t="s">
        <v>111</v>
      </c>
      <c r="B107" s="10"/>
      <c r="C107" s="10"/>
      <c r="D107" s="11"/>
      <c r="E107" s="11">
        <f>SUM(E108:E113)</f>
        <v>0</v>
      </c>
      <c r="F107" s="13"/>
      <c r="G107" s="13"/>
      <c r="H107" s="13"/>
      <c r="I107" s="13"/>
      <c r="J107" s="13"/>
      <c r="K107" s="13"/>
      <c r="L107" s="13"/>
      <c r="M107" s="13"/>
      <c r="N107" s="13"/>
      <c r="O107" s="13"/>
    </row>
    <row r="108" spans="1:15" x14ac:dyDescent="0.2">
      <c r="A108" s="24" t="s">
        <v>112</v>
      </c>
      <c r="B108" s="14"/>
      <c r="C108" s="14" t="s">
        <v>25</v>
      </c>
      <c r="D108" s="15">
        <f t="shared" ref="D108:D113" si="12">AVERAGE(F108:O108)</f>
        <v>5.35</v>
      </c>
      <c r="E108" s="5">
        <f t="shared" ref="E108:E113" si="13">D108*B108</f>
        <v>0</v>
      </c>
      <c r="F108" s="17"/>
      <c r="G108" s="17"/>
      <c r="H108" s="17"/>
      <c r="I108" s="17"/>
      <c r="J108" s="17"/>
      <c r="K108" s="17"/>
      <c r="L108" s="17"/>
      <c r="M108" s="17">
        <v>5.35</v>
      </c>
      <c r="N108" s="17"/>
      <c r="O108" s="17"/>
    </row>
    <row r="109" spans="1:15" x14ac:dyDescent="0.2">
      <c r="A109" s="24" t="s">
        <v>113</v>
      </c>
      <c r="B109" s="14"/>
      <c r="C109" s="14" t="s">
        <v>31</v>
      </c>
      <c r="D109" s="15">
        <f t="shared" si="12"/>
        <v>107.65</v>
      </c>
      <c r="E109" s="5">
        <f t="shared" si="13"/>
        <v>0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7">
        <v>107.65</v>
      </c>
    </row>
    <row r="110" spans="1:15" x14ac:dyDescent="0.2">
      <c r="A110" s="24" t="s">
        <v>114</v>
      </c>
      <c r="B110" s="14"/>
      <c r="C110" s="14" t="s">
        <v>29</v>
      </c>
      <c r="D110" s="15">
        <f t="shared" si="12"/>
        <v>3.44</v>
      </c>
      <c r="E110" s="5">
        <f t="shared" si="13"/>
        <v>0</v>
      </c>
      <c r="F110" s="17"/>
      <c r="G110" s="17"/>
      <c r="H110" s="17"/>
      <c r="I110" s="17"/>
      <c r="J110" s="17"/>
      <c r="K110" s="17"/>
      <c r="L110" s="17"/>
      <c r="M110" s="17">
        <v>3.44</v>
      </c>
      <c r="N110" s="17"/>
      <c r="O110" s="17"/>
    </row>
    <row r="111" spans="1:15" x14ac:dyDescent="0.2">
      <c r="A111" s="24" t="s">
        <v>115</v>
      </c>
      <c r="B111" s="14"/>
      <c r="C111" s="14" t="s">
        <v>25</v>
      </c>
      <c r="D111" s="15">
        <f t="shared" si="12"/>
        <v>1.835</v>
      </c>
      <c r="E111" s="5">
        <f t="shared" si="13"/>
        <v>0</v>
      </c>
      <c r="F111" s="17"/>
      <c r="G111" s="17"/>
      <c r="H111" s="17"/>
      <c r="I111" s="17"/>
      <c r="J111" s="17"/>
      <c r="K111" s="17"/>
      <c r="L111" s="17"/>
      <c r="M111" s="17">
        <v>2.08</v>
      </c>
      <c r="N111" s="17"/>
      <c r="O111" s="17">
        <v>1.59</v>
      </c>
    </row>
    <row r="112" spans="1:15" x14ac:dyDescent="0.2">
      <c r="A112" s="24" t="s">
        <v>116</v>
      </c>
      <c r="B112" s="14"/>
      <c r="C112" s="14" t="s">
        <v>25</v>
      </c>
      <c r="D112" s="15">
        <f t="shared" si="12"/>
        <v>0.69500000000000006</v>
      </c>
      <c r="E112" s="5">
        <f t="shared" si="13"/>
        <v>0</v>
      </c>
      <c r="F112" s="17"/>
      <c r="G112" s="17"/>
      <c r="H112" s="17"/>
      <c r="I112" s="17"/>
      <c r="J112" s="17"/>
      <c r="K112" s="17"/>
      <c r="L112" s="17"/>
      <c r="M112" s="17">
        <v>0.57999999999999996</v>
      </c>
      <c r="N112" s="17"/>
      <c r="O112" s="17">
        <v>0.81</v>
      </c>
    </row>
    <row r="113" spans="1:15" x14ac:dyDescent="0.2">
      <c r="A113" s="24" t="s">
        <v>117</v>
      </c>
      <c r="B113" s="14"/>
      <c r="C113" s="14" t="s">
        <v>25</v>
      </c>
      <c r="D113" s="15">
        <f t="shared" si="12"/>
        <v>8.8699999999999992</v>
      </c>
      <c r="E113" s="5">
        <f t="shared" si="13"/>
        <v>0</v>
      </c>
      <c r="F113" s="17"/>
      <c r="G113" s="17"/>
      <c r="H113" s="17">
        <v>8.8699999999999992</v>
      </c>
      <c r="I113" s="17"/>
      <c r="J113" s="17"/>
      <c r="K113" s="17"/>
      <c r="L113" s="17"/>
      <c r="M113" s="17"/>
      <c r="N113" s="17"/>
      <c r="O113" s="17"/>
    </row>
    <row r="114" spans="1:15" x14ac:dyDescent="0.2">
      <c r="A114" s="25"/>
      <c r="B114" s="14"/>
      <c r="C114" s="14"/>
      <c r="D114" s="15"/>
      <c r="E114" s="5"/>
      <c r="F114" s="20"/>
      <c r="G114" s="20"/>
      <c r="H114" s="20"/>
      <c r="I114" s="20"/>
      <c r="J114" s="20"/>
      <c r="K114" s="20"/>
      <c r="L114" s="20"/>
      <c r="M114" s="20"/>
      <c r="N114" s="20"/>
      <c r="O114" s="20"/>
    </row>
  </sheetData>
  <mergeCells count="2">
    <mergeCell ref="A1:E1"/>
    <mergeCell ref="A2:E2"/>
  </mergeCells>
  <pageMargins left="0.25" right="0.25" top="0.75" bottom="0.75" header="0.3" footer="0.3"/>
  <pageSetup orientation="portrait" r:id="rId1"/>
  <rowBreaks count="2" manualBreakCount="2">
    <brk id="37" max="16383" man="1"/>
    <brk id="75" max="16383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RRC Pricing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</dc:creator>
  <cp:lastModifiedBy>Melissa</cp:lastModifiedBy>
  <cp:lastPrinted>2012-10-04T22:58:01Z</cp:lastPrinted>
  <dcterms:created xsi:type="dcterms:W3CDTF">2012-10-04T22:56:26Z</dcterms:created>
  <dcterms:modified xsi:type="dcterms:W3CDTF">2012-10-04T22:58:18Z</dcterms:modified>
</cp:coreProperties>
</file>